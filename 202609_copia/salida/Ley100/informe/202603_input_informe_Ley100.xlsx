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nieto_sura_com_co/Documents/Documents/HERRAMIENTA MATRICIAL/inputs/202603/salida/Ley100/informe/"/>
    </mc:Choice>
  </mc:AlternateContent>
  <xr:revisionPtr revIDLastSave="107" documentId="11_0FE7A1556328184436F5438B38D8C552F6CE23C9" xr6:coauthVersionLast="47" xr6:coauthVersionMax="47" xr10:uidLastSave="{C31ECDAA-F112-4E61-A0C6-9A825B3FC255}"/>
  <bookViews>
    <workbookView xWindow="-110" yWindow="-110" windowWidth="19420" windowHeight="11500" xr2:uid="{00000000-000D-0000-FFFF-FFFF00000000}"/>
  </bookViews>
  <sheets>
    <sheet name="Resumen IFRS17 TMR" sheetId="1" r:id="rId1"/>
    <sheet name="Resumen Contable TMR" sheetId="2" r:id="rId2"/>
    <sheet name="Prototipo" sheetId="3" r:id="rId3"/>
  </sheets>
  <definedNames>
    <definedName name="_xlnm._FilterDatabase" localSheetId="2" hidden="1">Prototipo!$B$2:$K$35</definedName>
    <definedName name="_xlnm._FilterDatabase" localSheetId="1" hidden="1">'Resumen Contable TMR'!$A$1:$K$34</definedName>
    <definedName name="_xlnm._FilterDatabase" localSheetId="0" hidden="1">'Resumen IFRS17 TMR'!$A$1:$K$34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B46" i="1" l="1"/>
  <c r="B44" i="1"/>
  <c r="D39" i="1" l="1"/>
  <c r="E37" i="1"/>
  <c r="D37" i="1"/>
  <c r="C37" i="1"/>
  <c r="B37" i="1"/>
  <c r="M17" i="3"/>
  <c r="M16" i="3"/>
  <c r="M15" i="3"/>
  <c r="M11" i="3"/>
  <c r="M7" i="3"/>
  <c r="M4" i="3"/>
  <c r="M27" i="3"/>
  <c r="M28" i="3"/>
  <c r="M31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K18" i="3" s="1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K8" i="3" l="1"/>
  <c r="K20" i="3"/>
  <c r="K32" i="3"/>
  <c r="K10" i="3"/>
  <c r="K22" i="3"/>
  <c r="K34" i="3"/>
  <c r="K11" i="3"/>
  <c r="K23" i="3"/>
  <c r="K35" i="3"/>
  <c r="K12" i="3"/>
  <c r="K24" i="3"/>
  <c r="K13" i="3"/>
  <c r="K25" i="3"/>
  <c r="K14" i="3"/>
  <c r="K26" i="3"/>
  <c r="K6" i="3"/>
  <c r="K30" i="3"/>
  <c r="K7" i="3"/>
  <c r="K19" i="3"/>
  <c r="K5" i="3"/>
  <c r="K17" i="3"/>
  <c r="K29" i="3"/>
  <c r="K9" i="3"/>
  <c r="K21" i="3"/>
  <c r="K33" i="3"/>
  <c r="K31" i="3"/>
  <c r="K4" i="3"/>
  <c r="K16" i="3"/>
  <c r="K28" i="3"/>
  <c r="K3" i="3"/>
  <c r="K15" i="3"/>
  <c r="K27" i="3"/>
</calcChain>
</file>

<file path=xl/sharedStrings.xml><?xml version="1.0" encoding="utf-8"?>
<sst xmlns="http://schemas.openxmlformats.org/spreadsheetml/2006/main" count="95" uniqueCount="33">
  <si>
    <t>NMPOLIZA</t>
  </si>
  <si>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</si>
  <si>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</si>
  <si>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</si>
  <si>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</si>
  <si>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</si>
  <si>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</si>
  <si>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</si>
  <si>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</si>
  <si>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</si>
  <si>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</si>
  <si>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</si>
  <si>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</si>
  <si>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</si>
  <si>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</si>
  <si>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</si>
  <si>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</si>
  <si>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</si>
  <si>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</si>
  <si>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</si>
  <si>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</si>
  <si>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</si>
  <si>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</si>
  <si>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</si>
  <si>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</si>
  <si>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</si>
  <si>
    <t>Poliza</t>
  </si>
  <si>
    <t>Reserva NIIF 4</t>
  </si>
  <si>
    <t>Reserva Rentas ExtraLong</t>
  </si>
  <si>
    <t>Reserva Mortalidad ExtraLong</t>
  </si>
  <si>
    <t>Reserva Gastos ExtraLong</t>
  </si>
  <si>
    <t>Matricial</t>
  </si>
  <si>
    <t>Total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</si>
</sst>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1" formatCode="_-* #,##0_-;\-* #,##0_-;_-* &quot;-&quot;_-;_-@_-"/>
    <numFmt numFmtId="43" formatCode="_-* #,##0.00_-;\-* #,##0.00_-;_-* &quot;-&quot;??_-;_-@_-"/>
    <numFmt numFmtId="164" formatCode="#,##0.00\ &quot;€&quot;;\-#,##0.00\ &quot;€&quot;"/>
    <numFmt numFmtId="165" formatCode="_-* #,##0.00\ &quot;€&quot;_-;\-* #,##0.00\ &quot;€&quot;_-;_-* &quot;-&quot;??\ &quot;€&quot;_-;_-@_-"/>
    <numFmt numFmtId="166" formatCode="_-&quot;€&quot;\ * #,##0_-;\-&quot;€&quot;\ * #,##0_-;_-&quot;€&quot;\ * &quot;-&quot;_-;_-@_-"/>
    <numFmt numFmtId="167" formatCode="_-* #,##0.00\ _€_-;\-* #,##0.00\ _€_-;_-* &quot;-&quot;??\ _€_-;_-@_-"/>
    <numFmt numFmtId="168" formatCode="_-* #,##0.00\ _P_t_s_-;\-* #,##0.00\ _P_t_s_-;_-* &quot;-&quot;??\ _P_t_s_-;_-@_-"/>
    <numFmt numFmtId="169" formatCode="_-* #,##0.00\ _p_t_a_-;\-* #,##0.00\ _p_t_a_-;_-* &quot;-&quot;??\ _p_t_a_-;_-@_-"/>
    <numFmt numFmtId="170" formatCode="_-* #,##0\ _p_t_a_-;\-* #,##0\ _p_t_a_-;_-* &quot;-&quot;\ _p_t_a_-;_-@_-"/>
    <numFmt numFmtId="171" formatCode="_-* #,##0.00\ [$€-1]_-;\-* #,##0.00\ [$€-1]_-;_-* &quot;-&quot;??\ [$€-1]_-"/>
    <numFmt numFmtId="172" formatCode="[Magenta]General"/>
    <numFmt numFmtId="173" formatCode="[Magenta]#,##0;[Magenta]\(#,##0\)"/>
    <numFmt numFmtId="174" formatCode="[Blue]General"/>
    <numFmt numFmtId="175" formatCode="_-* #,##0\ _P_t_s_-;\-* #,##0\ _P_t_s_-;_-* &quot;-&quot;\ _P_t_s_-;_-@_-"/>
    <numFmt numFmtId="176" formatCode="mmm"/>
    <numFmt numFmtId="177" formatCode="#,##0;[Red]\(#,##0\)"/>
    <numFmt numFmtId="178" formatCode="_-* #,##0_-;\(#,##0\);_-* &quot;-&quot;??_-;_-@_-"/>
    <numFmt numFmtId="179" formatCode="0.0000%"/>
    <numFmt numFmtId="180" formatCode="_(&quot;€&quot;\ * #,##0.00_);_(&quot;€&quot;\ * \(#,##0.00\);_(&quot;€&quot;\ * &quot;-&quot;??_);_(@_)"/>
    <numFmt numFmtId="181" formatCode="_ * #,##0.00_ ;_ * \-#,##0.00_ ;_ * &quot;-&quot;??_ ;_ @_ "/>
    <numFmt numFmtId="182" formatCode="_ &quot;€&quot;\ * #,##0.00_ ;_ &quot;€&quot;\ * \-#,##0.00_ ;_ &quot;€&quot;\ * &quot;-&quot;??_ ;_ @_ "/>
    <numFmt numFmtId="183" formatCode="_ [$€-2]\ * #,##0.00_ ;_ [$€-2]\ * \-#,##0.00_ ;_ [$€-2]\ * &quot;-&quot;??_ "/>
    <numFmt numFmtId="190" formatCode="0.000%"/>
    <numFmt numFmtId="193" formatCode="_-* #,##0_-;\-* #,##0_-;_-* &quot;-&quot;_-;_-@_-"/>
    <numFmt numFmtId="194" formatCode="_-* #,##0.00_-;\-* #,##0.00_-;_-* &quot;-&quot;??_-;_-@_-"/>
  </numFmts>
  <fonts count="4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Univers"/>
      <family val="2"/>
    </font>
    <font>
      <sz val="10"/>
      <name val="Arial"/>
      <family val="2"/>
    </font>
    <font>
      <sz val="12"/>
      <name val="Tms Rmn"/>
    </font>
    <font>
      <sz val="10"/>
      <name val="BERNHARD"/>
    </font>
    <font>
      <sz val="10"/>
      <name val="Helv"/>
    </font>
    <font>
      <sz val="10"/>
      <name val="MS Sans Serif"/>
      <family val="2"/>
    </font>
    <font>
      <sz val="8.5"/>
      <name val="MS Sans Serif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Courier"/>
      <family val="3"/>
    </font>
    <font>
      <b/>
      <sz val="12"/>
      <name val="Arial"/>
      <family val="2"/>
    </font>
    <font>
      <sz val="8"/>
      <name val="Helv"/>
    </font>
    <font>
      <sz val="8.25"/>
      <name val="Helv"/>
    </font>
    <font>
      <sz val="7"/>
      <name val="Small Fonts"/>
      <family val="2"/>
    </font>
    <font>
      <sz val="8"/>
      <name val="Helvetica"/>
    </font>
    <font>
      <i/>
      <sz val="8"/>
      <color indexed="12"/>
      <name val="Arial"/>
      <family val="2"/>
    </font>
    <font>
      <sz val="10"/>
      <name val="Trebuchet MS"/>
      <family val="2"/>
    </font>
    <font>
      <i/>
      <sz val="10"/>
      <name val="Arial"/>
      <family val="2"/>
    </font>
    <font>
      <b/>
      <sz val="11"/>
      <name val="Arial"/>
      <family val="2"/>
    </font>
    <font>
      <sz val="8"/>
      <color indexed="18"/>
      <name val="Helvetica"/>
    </font>
    <font>
      <sz val="8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0"/>
      <color theme="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43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</borders>
  <cellStyleXfs count="1114">
    <xf numFmtId="0" fontId="0" fillId="0" borderId="0"/>
    <xf numFmtId="9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7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0" fontId="19" fillId="4" borderId="0" applyNumberFormat="0" applyBorder="0" applyAlignment="0" applyProtection="0"/>
    <xf numFmtId="167" fontId="2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0" fillId="0" borderId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165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0"/>
    <xf numFmtId="169" fontId="21" fillId="0" borderId="0" applyFon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0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4" fillId="0" borderId="0"/>
    <xf numFmtId="0" fontId="25" fillId="33" borderId="15" applyNumberFormat="0" applyFont="0" applyBorder="0" applyAlignment="0" applyProtection="0">
      <alignment horizontal="centerContinuous"/>
    </xf>
    <xf numFmtId="0" fontId="26" fillId="34" borderId="16" applyNumberFormat="0" applyBorder="0">
      <alignment horizontal="left"/>
    </xf>
    <xf numFmtId="0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9" fillId="0" borderId="0">
      <alignment vertical="center"/>
    </xf>
    <xf numFmtId="171" fontId="21" fillId="0" borderId="0" applyFon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1" fillId="35" borderId="13" applyNumberFormat="0" applyFont="0" applyBorder="0" applyAlignment="0">
      <alignment horizontal="centerContinuous"/>
    </xf>
    <xf numFmtId="0" fontId="30" fillId="0" borderId="14" applyNumberFormat="0" applyAlignment="0" applyProtection="0">
      <alignment horizontal="left" vertical="center"/>
    </xf>
    <xf numFmtId="0" fontId="30" fillId="0" borderId="12">
      <alignment horizontal="left" vertical="center"/>
    </xf>
    <xf numFmtId="172" fontId="31" fillId="0" borderId="0">
      <alignment horizontal="center"/>
      <protection locked="0"/>
    </xf>
    <xf numFmtId="173" fontId="32" fillId="0" borderId="0">
      <alignment horizontal="center"/>
      <protection locked="0"/>
    </xf>
    <xf numFmtId="0" fontId="21" fillId="0" borderId="0"/>
    <xf numFmtId="174" fontId="31" fillId="0" borderId="0">
      <alignment horizontal="center"/>
      <protection locked="0"/>
    </xf>
    <xf numFmtId="174" fontId="31" fillId="0" borderId="0">
      <alignment horizontal="center"/>
      <protection locked="0"/>
    </xf>
    <xf numFmtId="175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7" fillId="0" borderId="0">
      <protection locked="0"/>
    </xf>
    <xf numFmtId="37" fontId="33" fillId="0" borderId="0"/>
    <xf numFmtId="0" fontId="29" fillId="0" borderId="0"/>
    <xf numFmtId="176" fontId="24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34" fillId="0" borderId="0" applyProtection="0">
      <alignment horizontal="center"/>
    </xf>
    <xf numFmtId="4" fontId="35" fillId="0" borderId="11" applyNumberFormat="0" applyFill="0" applyBorder="0" applyAlignment="0" applyProtection="0">
      <alignment horizontal="right"/>
    </xf>
    <xf numFmtId="3" fontId="36" fillId="0" borderId="0">
      <alignment vertical="center"/>
    </xf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7" fillId="36" borderId="17">
      <alignment horizontal="center"/>
    </xf>
    <xf numFmtId="38" fontId="31" fillId="0" borderId="0"/>
    <xf numFmtId="0" fontId="25" fillId="0" borderId="0"/>
    <xf numFmtId="0" fontId="21" fillId="37" borderId="0" applyNumberFormat="0">
      <alignment horizontal="left"/>
    </xf>
    <xf numFmtId="0" fontId="27" fillId="0" borderId="18">
      <protection locked="0"/>
    </xf>
    <xf numFmtId="0" fontId="38" fillId="38" borderId="0">
      <alignment horizontal="right"/>
    </xf>
    <xf numFmtId="0" fontId="39" fillId="0" borderId="0">
      <alignment horizontal="center"/>
    </xf>
    <xf numFmtId="43" fontId="2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2" fillId="0" borderId="0"/>
    <xf numFmtId="0" fontId="2" fillId="0" borderId="0"/>
    <xf numFmtId="178" fontId="2" fillId="39" borderId="0" applyNumberFormat="0" applyBorder="0" applyAlignment="0" applyProtection="0"/>
    <xf numFmtId="9" fontId="2" fillId="0" borderId="0" applyFont="0" applyFill="0" applyBorder="0" applyAlignment="0" applyProtection="0"/>
    <xf numFmtId="0" fontId="2" fillId="40" borderId="0" applyNumberFormat="0" applyFon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0" fontId="41" fillId="0" borderId="0"/>
    <xf numFmtId="41" fontId="41" fillId="0" borderId="0" applyFont="0" applyFill="0" applyBorder="0" applyAlignment="0" applyProtection="0"/>
    <xf numFmtId="0" fontId="4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42" fillId="0" borderId="0"/>
    <xf numFmtId="0" fontId="42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2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0" fontId="43" fillId="0" borderId="0"/>
    <xf numFmtId="0" fontId="44" fillId="0" borderId="0"/>
    <xf numFmtId="43" fontId="44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66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4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4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4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44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44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44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1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44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42" borderId="19" xfId="0" applyNumberFormat="1" applyFill="1" applyBorder="1" applyAlignment="1">
      <alignment horizontal="left"/>
    </xf>
    <xf numFmtId="0" fontId="12" fillId="41" borderId="20" xfId="0" applyFont="1" applyFill="1" applyBorder="1" applyAlignment="1">
      <alignment horizontal="center" vertical="center"/>
    </xf>
    <xf numFmtId="1" fontId="0" fillId="42" borderId="19" xfId="0" applyNumberFormat="1" applyFill="1" applyBorder="1" applyAlignment="1">
      <alignment horizontal="left" vertical="center"/>
    </xf>
    <xf numFmtId="3" fontId="12" fillId="41" borderId="20" xfId="0" applyNumberFormat="1" applyFont="1" applyFill="1" applyBorder="1" applyAlignment="1">
      <alignment horizontal="center" vertical="center"/>
    </xf>
    <xf numFmtId="0" fontId="12" fillId="41" borderId="21" xfId="0" applyFont="1" applyFill="1" applyBorder="1" applyAlignment="1">
      <alignment horizontal="center" vertical="center"/>
    </xf>
    <xf numFmtId="164" fontId="0" fillId="42" borderId="19" xfId="0" applyNumberFormat="1" applyFill="1" applyBorder="1" applyAlignment="1">
      <alignment horizontal="left"/>
    </xf>
    <xf numFmtId="3" fontId="0" fillId="0" borderId="0" xfId="0" applyNumberFormat="1"/>
    <xf numFmtId="164" fontId="0" fillId="43" borderId="19" xfId="0" applyNumberFormat="1" applyFill="1" applyBorder="1" applyAlignment="1">
      <alignment horizontal="left"/>
    </xf>
    <xf numFmtId="164" fontId="0" fillId="0" borderId="0" xfId="0" applyNumberFormat="1"/>
    <xf numFmtId="164" fontId="0" fillId="42" borderId="19" xfId="1" applyNumberFormat="1" applyFont="1" applyFill="1" applyBorder="1" applyAlignment="1">
      <alignment horizontal="left"/>
    </xf>
    <xf numFmtId="190" fontId="0" fillId="0" borderId="0" xfId="1" applyNumberFormat="1" applyFont="1"/>
    <xf numFmtId="4" fontId="0" fillId="44" borderId="22" xfId="0" applyNumberFormat="1" applyFill="1" applyBorder="1" applyAlignment="1">
      <alignment horizontal="center" vertical="center"/>
    </xf>
    <xf numFmtId="4" fontId="0" fillId="44" borderId="22" xfId="0" applyNumberFormat="1" applyFill="1" applyBorder="1" applyAlignment="1">
      <alignment horizontal="center" vertical="center"/>
    </xf>
    <xf numFmtId="4" fontId="0" fillId="44" borderId="22" xfId="0" applyNumberFormat="1" applyFill="1" applyBorder="1" applyAlignment="1">
      <alignment horizontal="center" vertical="center"/>
    </xf>
    <xf numFmtId="179" fontId="0" fillId="0" borderId="0" xfId="0" applyNumberFormat="1"/>
    <xf numFmtId="4" fontId="0" fillId="44" borderId="22" xfId="0" applyNumberFormat="1" applyFill="1" applyBorder="1" applyAlignment="1">
      <alignment horizontal="center" vertical="center"/>
    </xf>
    <xf numFmtId="4" fontId="0" fillId="0" borderId="0" xfId="0" applyNumberFormat="1"/>
    <xf numFmtId="190" fontId="0" fillId="0" borderId="0" xfId="1" applyNumberFormat="1" applyFont="1"/>
    <xf numFmtId="10" fontId="0" fillId="0" borderId="0" xfId="1" applyNumberFormat="1" applyFont="1"/>
  </cellXfs>
  <cellStyles count="1114">
    <cellStyle name="_x000a_bidires=100_x000d_" xfId="54" xr:uid="{83E68197-9E40-40F0-A148-AEB44090ABCE}"/>
    <cellStyle name="%" xfId="149" xr:uid="{91D5B7EF-45A6-4226-B949-7C707B33FD12}"/>
    <cellStyle name="_ESTRUCTURAS" xfId="55" xr:uid="{62823F1D-FC30-4CD5-B99A-9846F02F37AA}"/>
    <cellStyle name="_Instrumento_Cartera" xfId="56" xr:uid="{76F2B3BF-C6B8-4BFF-AF35-BF5E38D0FB47}"/>
    <cellStyle name="1" xfId="57" xr:uid="{BDDBB5E1-6ED9-423B-AE44-DA25E61321AF}"/>
    <cellStyle name="1_ESTRUCTURAS" xfId="58" xr:uid="{064F2914-5ED0-4E5C-AAE7-CBD3FEA97BF7}"/>
    <cellStyle name="1_Instrumento_Cartera" xfId="59" xr:uid="{20D0A6BC-AA7F-4BEF-AEAC-59091704C9A3}"/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40" xr:uid="{2A9C121C-9DEB-4593-B025-FEB3614E2691}"/>
    <cellStyle name="60% - Énfasis2 2" xfId="41" xr:uid="{48E8EE3C-B333-4509-8D81-36F8ADA77245}"/>
    <cellStyle name="60% - Énfasis3 2" xfId="42" xr:uid="{E8381282-2E6D-49A5-8258-85263B52B454}"/>
    <cellStyle name="60% - Énfasis4 2" xfId="43" xr:uid="{5C069DD4-DD46-483C-AE6B-8FFC770BEE48}"/>
    <cellStyle name="60% - Énfasis5 2" xfId="44" xr:uid="{400D0DC2-F224-4F44-B4F7-5842C2ADA9B0}"/>
    <cellStyle name="60% - Énfasis6 2" xfId="45" xr:uid="{FCD15E22-BA3C-4BBA-878E-3CFD5DD7D871}"/>
    <cellStyle name="Body" xfId="60" xr:uid="{5F26BBC2-0EB4-4820-8FEA-D7DD65FF87BC}"/>
    <cellStyle name="Bueno" xfId="6" builtinId="26" customBuiltin="1"/>
    <cellStyle name="Calculation 2 2" xfId="122" xr:uid="{4A3EDE1E-4DBD-4456-9300-6C7F03E805BA}"/>
    <cellStyle name="Cálculo" xfId="10" builtinId="22" customBuiltin="1"/>
    <cellStyle name="Celda de comprobación" xfId="12" builtinId="23" customBuiltin="1"/>
    <cellStyle name="Celda vinculada" xfId="11" builtinId="24" customBuiltin="1"/>
    <cellStyle name="Comma [0] 10" xfId="550" xr:uid="{64DE3A1E-C933-4EE3-B866-33A292228C44}"/>
    <cellStyle name="Comma [0] 10 2" xfId="1026" xr:uid="{B576F5BC-A76F-4CEC-A760-6FFEF5C3BA8C}"/>
    <cellStyle name="Comma [0] 2" xfId="61" xr:uid="{8B8EB239-59A2-43AE-AA7A-E65D3774B3AE}"/>
    <cellStyle name="Comma [0] 3" xfId="137" xr:uid="{664317C3-A3AD-4FB3-B213-0549BA790360}"/>
    <cellStyle name="Comma [0] 3 2" xfId="164" xr:uid="{34870F34-B98C-44E5-9EAB-E967AAAE75F6}"/>
    <cellStyle name="Comma [0] 3 2 2" xfId="193" xr:uid="{01B0F24E-6E62-4DF7-AD10-E29A607FAA22}"/>
    <cellStyle name="Comma [0] 3 2 2 2" xfId="255" xr:uid="{73410BE0-945B-4E3A-9696-31FEE8A696D6}"/>
    <cellStyle name="Comma [0] 3 2 2 2 2" xfId="421" xr:uid="{19DC4BC2-A564-4219-B3EA-9A7C27F12939}"/>
    <cellStyle name="Comma [0] 3 2 2 2 2 2" xfId="905" xr:uid="{004F3080-7CB7-4C89-8591-C27409473250}"/>
    <cellStyle name="Comma [0] 3 2 2 2 3" xfId="602" xr:uid="{3194D128-3ED7-4C01-A499-6775D765BC2D}"/>
    <cellStyle name="Comma [0] 3 2 2 2 3 2" xfId="1074" xr:uid="{8EE72DB9-C283-474A-AD2B-49D6F2DD89AE}"/>
    <cellStyle name="Comma [0] 3 2 2 2 4" xfId="764" xr:uid="{8666D1F6-A7DB-43C1-950A-C538ACD94681}"/>
    <cellStyle name="Comma [0] 3 2 2 3" xfId="317" xr:uid="{5901C058-BDE5-49E8-BA76-1B4C857DD9FB}"/>
    <cellStyle name="Comma [0] 3 2 2 3 2" xfId="820" xr:uid="{C059A3E7-2F7D-428E-8210-6E13EE7FBC3C}"/>
    <cellStyle name="Comma [0] 3 2 2 4" xfId="512" xr:uid="{C7917EDC-4E64-40BF-A956-AD03A297AE5D}"/>
    <cellStyle name="Comma [0] 3 2 2 4 2" xfId="990" xr:uid="{D720F0AA-BB3C-4B8C-A6B0-0E0E3207CCDB}"/>
    <cellStyle name="Comma [0] 3 2 2 5" xfId="706" xr:uid="{A9F483A8-2794-4E6D-920C-3AD92A82CCA0}"/>
    <cellStyle name="Comma [0] 3 2 3" xfId="226" xr:uid="{9829CD74-F55B-45CF-B41E-149D77A183EB}"/>
    <cellStyle name="Comma [0] 3 2 3 2" xfId="450" xr:uid="{BEFE068B-00AD-4815-ADD8-4E7740389F3D}"/>
    <cellStyle name="Comma [0] 3 2 3 2 2" xfId="631" xr:uid="{C863F20F-2A24-4392-B7F8-7882186384C3}"/>
    <cellStyle name="Comma [0] 3 2 3 2 2 2" xfId="1101" xr:uid="{055A33BA-A456-40DC-9F3C-8AFECD5BF1AD}"/>
    <cellStyle name="Comma [0] 3 2 3 2 3" xfId="932" xr:uid="{A4B78E6E-D80A-464D-8D1D-464729671269}"/>
    <cellStyle name="Comma [0] 3 2 3 3" xfId="347" xr:uid="{81D1271E-D45C-4065-8B8E-B8BD131A6562}"/>
    <cellStyle name="Comma [0] 3 2 3 3 2" xfId="847" xr:uid="{ABF3AA31-CEFA-4BDD-9B4A-2BC6E135BAE0}"/>
    <cellStyle name="Comma [0] 3 2 3 4" xfId="541" xr:uid="{CCC55AA3-DE3E-4282-8952-C842C4E3AA23}"/>
    <cellStyle name="Comma [0] 3 2 3 4 2" xfId="1017" xr:uid="{604EA0BE-D133-454D-834B-A65AE30F02E8}"/>
    <cellStyle name="Comma [0] 3 2 3 5" xfId="737" xr:uid="{243F3BEE-328F-4D6C-A30B-2DB7C23A0822}"/>
    <cellStyle name="Comma [0] 3 2 4" xfId="392" xr:uid="{C6BA43FB-D27A-46D0-8E47-776B750C6F90}"/>
    <cellStyle name="Comma [0] 3 2 4 2" xfId="573" xr:uid="{CD04D620-72E7-4A1E-9A03-B63353FF20DD}"/>
    <cellStyle name="Comma [0] 3 2 4 2 2" xfId="1047" xr:uid="{D94E7F09-441E-45FB-9201-719F8FC2AB1E}"/>
    <cellStyle name="Comma [0] 3 2 4 3" xfId="878" xr:uid="{3B6E1E71-34DD-415C-B35E-805B227C8059}"/>
    <cellStyle name="Comma [0] 3 2 5" xfId="288" xr:uid="{FC3707D1-3E88-43FC-83D4-9911F00A05F6}"/>
    <cellStyle name="Comma [0] 3 2 5 2" xfId="793" xr:uid="{5E19A544-EBBD-4034-B38C-E194E128EC50}"/>
    <cellStyle name="Comma [0] 3 2 6" xfId="483" xr:uid="{E7144654-C4CE-4700-B7AB-1C0371AB477F}"/>
    <cellStyle name="Comma [0] 3 2 6 2" xfId="963" xr:uid="{921FE79D-4A42-4F26-B8C8-50665A863857}"/>
    <cellStyle name="Comma [0] 3 2 7" xfId="678" xr:uid="{6FC63FA3-2564-461E-88D1-D6377786D6B1}"/>
    <cellStyle name="Comma [0] 3 3" xfId="175" xr:uid="{C8CD261B-99C6-42A6-B093-E06DD37FBE0D}"/>
    <cellStyle name="Comma [0] 3 3 2" xfId="237" xr:uid="{6670AEE7-1A8E-4402-A710-B7FA5E169BD1}"/>
    <cellStyle name="Comma [0] 3 3 2 2" xfId="403" xr:uid="{F5D5E64D-9366-4AE3-81D0-0BFDDC90313B}"/>
    <cellStyle name="Comma [0] 3 3 2 2 2" xfId="888" xr:uid="{7CD97CB5-1F55-4804-A74F-2C0593524D4C}"/>
    <cellStyle name="Comma [0] 3 3 2 3" xfId="584" xr:uid="{071F6D9B-8F37-4C85-B08A-18E3D5A42B44}"/>
    <cellStyle name="Comma [0] 3 3 2 3 2" xfId="1057" xr:uid="{D08139C4-4D36-4216-81E2-F591637A35A0}"/>
    <cellStyle name="Comma [0] 3 3 2 4" xfId="747" xr:uid="{56C08F6E-D56D-49A6-98E7-5EB381097D1B}"/>
    <cellStyle name="Comma [0] 3 3 3" xfId="299" xr:uid="{39DC0ECF-D269-49A7-A538-A6D59D8FD70D}"/>
    <cellStyle name="Comma [0] 3 3 3 2" xfId="803" xr:uid="{7E03B288-69BC-41D8-9C44-3A9F5913FB81}"/>
    <cellStyle name="Comma [0] 3 3 4" xfId="494" xr:uid="{4FC123AC-B485-4972-9E03-CCC401619361}"/>
    <cellStyle name="Comma [0] 3 3 4 2" xfId="973" xr:uid="{87BE7DA6-63D9-4AE9-AC9A-DE115E16764A}"/>
    <cellStyle name="Comma [0] 3 3 5" xfId="689" xr:uid="{86A7C0FB-54E3-474E-B6A2-6396AF5C0A60}"/>
    <cellStyle name="Comma [0] 3 4" xfId="208" xr:uid="{3190C0DF-0AE3-4C3C-8961-3EE8B90EDDF0}"/>
    <cellStyle name="Comma [0] 3 4 2" xfId="432" xr:uid="{367B6495-E90A-467B-BE2C-2445A8F9BA2B}"/>
    <cellStyle name="Comma [0] 3 4 2 2" xfId="613" xr:uid="{2B50B9C2-3339-4F05-AE82-730C6E5D1EC2}"/>
    <cellStyle name="Comma [0] 3 4 2 2 2" xfId="1084" xr:uid="{38CE4395-A8ED-4EF5-A363-AF4ED8313E6E}"/>
    <cellStyle name="Comma [0] 3 4 2 3" xfId="915" xr:uid="{450FFE75-24BA-463A-B4BE-F888B8403446}"/>
    <cellStyle name="Comma [0] 3 4 3" xfId="328" xr:uid="{EDDB8950-AD77-4489-B83D-F6E8C162BB85}"/>
    <cellStyle name="Comma [0] 3 4 3 2" xfId="830" xr:uid="{14B481EC-10B9-4CB9-BF58-62E7189156BE}"/>
    <cellStyle name="Comma [0] 3 4 4" xfId="523" xr:uid="{49C52274-D910-42C9-B967-CB3DC7AACF64}"/>
    <cellStyle name="Comma [0] 3 4 4 2" xfId="1000" xr:uid="{8F92CBC5-65F9-4593-B2E6-3239F089F138}"/>
    <cellStyle name="Comma [0] 3 4 5" xfId="720" xr:uid="{F6E861D0-DCA1-4C76-870F-FBF4C3E33C2A}"/>
    <cellStyle name="Comma [0] 3 5" xfId="374" xr:uid="{D0135416-8B80-4491-9DAD-4D2FCD54FC4D}"/>
    <cellStyle name="Comma [0] 3 5 2" xfId="555" xr:uid="{A410131A-DF69-46C3-961B-7C390B6D37CE}"/>
    <cellStyle name="Comma [0] 3 5 2 2" xfId="1030" xr:uid="{29401E9D-E900-42C7-938B-626EE5EBD733}"/>
    <cellStyle name="Comma [0] 3 5 3" xfId="860" xr:uid="{88925267-368C-4D4F-9960-D106B3D7A00C}"/>
    <cellStyle name="Comma [0] 3 6" xfId="269" xr:uid="{92A7A649-C070-4DE8-8921-064792851400}"/>
    <cellStyle name="Comma [0] 3 6 2" xfId="776" xr:uid="{BC6F3C03-E307-4EC6-8C5A-D32415767DE9}"/>
    <cellStyle name="Comma [0] 3 7" xfId="465" xr:uid="{E5AF1171-9CAF-4929-BB2F-413E11B8E528}"/>
    <cellStyle name="Comma [0] 3 7 2" xfId="946" xr:uid="{3C8127D3-B089-4E50-BEF1-DC02AB5545EE}"/>
    <cellStyle name="Comma [0] 3 8" xfId="660" xr:uid="{8B50C9B4-64C6-45BF-B629-FD0050C59DEE}"/>
    <cellStyle name="Comma [0] 4" xfId="139" xr:uid="{060E4FAB-D693-4A64-93B6-DCEA313379BD}"/>
    <cellStyle name="Comma [0] 4 2" xfId="165" xr:uid="{2BFBD4C4-57CF-465F-910E-0F68F5EB0D85}"/>
    <cellStyle name="Comma [0] 4 2 2" xfId="194" xr:uid="{BAF4D61E-2F39-481C-8E8B-26D13D5F19BE}"/>
    <cellStyle name="Comma [0] 4 2 2 2" xfId="256" xr:uid="{3C22466F-3742-46F3-8CB2-ABF63F016BC6}"/>
    <cellStyle name="Comma [0] 4 2 2 2 2" xfId="422" xr:uid="{6E6896D2-9A98-4185-850A-377461022B08}"/>
    <cellStyle name="Comma [0] 4 2 2 2 2 2" xfId="906" xr:uid="{73F7EB7D-AF6E-447D-BF66-E3131BBD1FC2}"/>
    <cellStyle name="Comma [0] 4 2 2 2 3" xfId="603" xr:uid="{D71D0CA8-A812-4358-A873-5356E815E2E1}"/>
    <cellStyle name="Comma [0] 4 2 2 2 3 2" xfId="1075" xr:uid="{589C14C2-0493-43D8-B877-85A31579F421}"/>
    <cellStyle name="Comma [0] 4 2 2 2 4" xfId="765" xr:uid="{99566E2D-55BC-41C9-A5D2-2DE628506E6C}"/>
    <cellStyle name="Comma [0] 4 2 2 3" xfId="318" xr:uid="{F0E49FB7-0A60-423C-8EAF-FB08EC5DDB0D}"/>
    <cellStyle name="Comma [0] 4 2 2 3 2" xfId="821" xr:uid="{02095CC6-7CDB-43C1-9E7D-CC1785E54630}"/>
    <cellStyle name="Comma [0] 4 2 2 4" xfId="513" xr:uid="{430085AE-A905-4DDA-B81C-700ABC579994}"/>
    <cellStyle name="Comma [0] 4 2 2 4 2" xfId="991" xr:uid="{55F40A11-3829-4B36-851F-484F2CF95CBB}"/>
    <cellStyle name="Comma [0] 4 2 2 5" xfId="707" xr:uid="{310D0F3C-B18A-41DB-B82B-33AF1C445F28}"/>
    <cellStyle name="Comma [0] 4 2 3" xfId="227" xr:uid="{5C0DE49E-5E7C-40CD-A81E-7FC8E92475FC}"/>
    <cellStyle name="Comma [0] 4 2 3 2" xfId="451" xr:uid="{F38602AB-2E16-4CD9-83FF-E06020BEB872}"/>
    <cellStyle name="Comma [0] 4 2 3 2 2" xfId="632" xr:uid="{F8E2B21A-1F63-48EE-8106-D7B2C24A445C}"/>
    <cellStyle name="Comma [0] 4 2 3 2 2 2" xfId="1102" xr:uid="{CBA15380-0C28-4AC6-9BB1-4FC715C8A833}"/>
    <cellStyle name="Comma [0] 4 2 3 2 3" xfId="933" xr:uid="{EEC48655-6AC0-4434-A84B-56D03E98A707}"/>
    <cellStyle name="Comma [0] 4 2 3 3" xfId="348" xr:uid="{5C51900B-ABCE-4A49-869F-A3F2F404CCCF}"/>
    <cellStyle name="Comma [0] 4 2 3 3 2" xfId="848" xr:uid="{5AFA6860-41CE-4EBB-B8CF-4AEF04A98980}"/>
    <cellStyle name="Comma [0] 4 2 3 4" xfId="542" xr:uid="{1CAFC8B9-F25E-405F-A04E-14B678801C38}"/>
    <cellStyle name="Comma [0] 4 2 3 4 2" xfId="1018" xr:uid="{3AC88199-55FD-4E20-8B99-03DD4A290A11}"/>
    <cellStyle name="Comma [0] 4 2 3 5" xfId="738" xr:uid="{35E58D48-60DD-4C2C-9089-98B62495405D}"/>
    <cellStyle name="Comma [0] 4 2 4" xfId="393" xr:uid="{18D4C971-CFC4-43EA-B501-22D5C730FA41}"/>
    <cellStyle name="Comma [0] 4 2 4 2" xfId="574" xr:uid="{35933DDC-F7CD-4923-A624-756C56A09062}"/>
    <cellStyle name="Comma [0] 4 2 4 2 2" xfId="1048" xr:uid="{A29E0335-E003-4906-A8BD-AA333FE9A26B}"/>
    <cellStyle name="Comma [0] 4 2 4 3" xfId="879" xr:uid="{57B25DAB-F393-4916-A227-8D4D821FF6D4}"/>
    <cellStyle name="Comma [0] 4 2 5" xfId="289" xr:uid="{6541F5BE-D867-44DD-9FB0-08176921AF6F}"/>
    <cellStyle name="Comma [0] 4 2 5 2" xfId="794" xr:uid="{08977A33-B750-4682-8109-3BA6B288BE94}"/>
    <cellStyle name="Comma [0] 4 2 6" xfId="484" xr:uid="{D13BBD22-1180-4A07-8D67-AAFF246216BD}"/>
    <cellStyle name="Comma [0] 4 2 6 2" xfId="964" xr:uid="{C5AD6561-EBC7-4118-AE68-0F8B50F9BEF9}"/>
    <cellStyle name="Comma [0] 4 2 7" xfId="679" xr:uid="{9A71AE08-3B03-4CE2-BB86-41B841531284}"/>
    <cellStyle name="Comma [0] 4 3" xfId="176" xr:uid="{284A96F2-971A-4DF6-B34F-540B7D28463C}"/>
    <cellStyle name="Comma [0] 4 3 2" xfId="238" xr:uid="{E535AA82-1F1C-4E8B-AA5F-5F546467240D}"/>
    <cellStyle name="Comma [0] 4 3 2 2" xfId="404" xr:uid="{0D76604E-0FE7-4871-AA8F-831ED167E305}"/>
    <cellStyle name="Comma [0] 4 3 2 2 2" xfId="889" xr:uid="{405906D2-E9FB-4527-BF14-C2079D88457C}"/>
    <cellStyle name="Comma [0] 4 3 2 3" xfId="585" xr:uid="{89C89812-40B2-4974-9DEE-7400635A6060}"/>
    <cellStyle name="Comma [0] 4 3 2 3 2" xfId="1058" xr:uid="{91D852D9-094E-4438-94BD-5FAAF62674CD}"/>
    <cellStyle name="Comma [0] 4 3 2 4" xfId="748" xr:uid="{6CD8874A-1AA6-405A-991A-FEF68F567920}"/>
    <cellStyle name="Comma [0] 4 3 3" xfId="300" xr:uid="{94ABDF64-A55D-4E77-AB26-16D2BC4AEDC9}"/>
    <cellStyle name="Comma [0] 4 3 3 2" xfId="804" xr:uid="{BFD0BC8E-8DC1-41BF-B82E-51FF9658DCED}"/>
    <cellStyle name="Comma [0] 4 3 4" xfId="495" xr:uid="{F2D126D6-9AFA-4F02-A816-58E1C7777A8D}"/>
    <cellStyle name="Comma [0] 4 3 4 2" xfId="974" xr:uid="{29B289D4-04FC-48EA-BB57-EED653A9C53F}"/>
    <cellStyle name="Comma [0] 4 3 5" xfId="690" xr:uid="{19ADF108-449F-4D31-A97E-57BC86F79D75}"/>
    <cellStyle name="Comma [0] 4 4" xfId="209" xr:uid="{D3C86EC0-AD25-4E9F-AB75-958748516337}"/>
    <cellStyle name="Comma [0] 4 4 2" xfId="433" xr:uid="{872BFE21-0A78-4DA7-A528-55EA34404C0F}"/>
    <cellStyle name="Comma [0] 4 4 2 2" xfId="614" xr:uid="{6DC7DCFE-5A31-4325-8868-21F3371152F9}"/>
    <cellStyle name="Comma [0] 4 4 2 2 2" xfId="1085" xr:uid="{9FCF32C8-361A-4C52-AC1E-ABA66D23E526}"/>
    <cellStyle name="Comma [0] 4 4 2 3" xfId="916" xr:uid="{C0F9C62E-6955-4F93-A7D1-5C33233E97B9}"/>
    <cellStyle name="Comma [0] 4 4 3" xfId="329" xr:uid="{38E5581C-BE7A-48BA-8641-43C7D6ACBA1B}"/>
    <cellStyle name="Comma [0] 4 4 3 2" xfId="831" xr:uid="{031C153B-EDBE-42C7-8E83-9A1A4A177E7F}"/>
    <cellStyle name="Comma [0] 4 4 4" xfId="524" xr:uid="{395F187A-9B2D-4D8D-AD94-692B43B3DBCA}"/>
    <cellStyle name="Comma [0] 4 4 4 2" xfId="1001" xr:uid="{600EE8FD-50BA-4AEF-B4A5-929DBC648F8B}"/>
    <cellStyle name="Comma [0] 4 4 5" xfId="721" xr:uid="{8C39B868-2BE4-4003-A32D-D14DF6E810CF}"/>
    <cellStyle name="Comma [0] 4 5" xfId="375" xr:uid="{F02A167B-275C-4574-AA09-1B3A206835D2}"/>
    <cellStyle name="Comma [0] 4 5 2" xfId="556" xr:uid="{6E5E67F7-8F24-4830-9435-CC649910F69D}"/>
    <cellStyle name="Comma [0] 4 5 2 2" xfId="1031" xr:uid="{39A073FB-0AAB-4695-A041-25E34629D5DF}"/>
    <cellStyle name="Comma [0] 4 5 3" xfId="861" xr:uid="{A372AB77-4850-4063-AB3D-A25FC8AAE06E}"/>
    <cellStyle name="Comma [0] 4 6" xfId="270" xr:uid="{2C67CE04-96A8-4590-A6E4-561041307138}"/>
    <cellStyle name="Comma [0] 4 6 2" xfId="777" xr:uid="{AB3CD015-D1B7-4936-A596-B2507322CC43}"/>
    <cellStyle name="Comma [0] 4 7" xfId="466" xr:uid="{0CEE4C53-D736-449D-B1F4-9CE9C25D700E}"/>
    <cellStyle name="Comma [0] 4 7 2" xfId="947" xr:uid="{083A1AEB-6F92-4273-9208-FFCB3D2BCFE1}"/>
    <cellStyle name="Comma [0] 4 8" xfId="661" xr:uid="{C6E97AF8-A8C6-4BF2-A054-CE74E745C05E}"/>
    <cellStyle name="Comma [0] 5" xfId="142" xr:uid="{FA9CEF53-06E3-486F-AFF6-E4555988930C}"/>
    <cellStyle name="Comma [0] 5 2" xfId="166" xr:uid="{6E5B2CD5-CF3A-4980-8620-BFD3F07C0764}"/>
    <cellStyle name="Comma [0] 5 2 2" xfId="195" xr:uid="{AB6A7743-F0D2-4ADF-A635-B46A4AA6BFD9}"/>
    <cellStyle name="Comma [0] 5 2 2 2" xfId="257" xr:uid="{7C0F4FDA-FC1D-4758-BCE4-8680F4598BD4}"/>
    <cellStyle name="Comma [0] 5 2 2 2 2" xfId="423" xr:uid="{1807F73A-FA5E-49AB-9348-AEB4A536B910}"/>
    <cellStyle name="Comma [0] 5 2 2 2 2 2" xfId="907" xr:uid="{2978D0DE-2670-4295-90B3-38ABE1CAD446}"/>
    <cellStyle name="Comma [0] 5 2 2 2 3" xfId="604" xr:uid="{55ADF0BA-10D3-4FBD-A6FA-739DD2719DD3}"/>
    <cellStyle name="Comma [0] 5 2 2 2 3 2" xfId="1076" xr:uid="{8289BC83-4B81-4F85-A5CD-F5F74B1297F2}"/>
    <cellStyle name="Comma [0] 5 2 2 2 4" xfId="766" xr:uid="{F8712D4A-C707-4071-A282-D6B537E9BF80}"/>
    <cellStyle name="Comma [0] 5 2 2 3" xfId="319" xr:uid="{3F333037-E3B9-4E26-86DC-D212CC43A3A8}"/>
    <cellStyle name="Comma [0] 5 2 2 3 2" xfId="822" xr:uid="{1A9041B9-3BDE-4714-8F40-00B2F43E57EE}"/>
    <cellStyle name="Comma [0] 5 2 2 4" xfId="514" xr:uid="{430609BB-A927-4F79-87E5-60B2D03C5D81}"/>
    <cellStyle name="Comma [0] 5 2 2 4 2" xfId="992" xr:uid="{50DD5EF7-DC0B-4C72-8185-50FCBAC4C6DD}"/>
    <cellStyle name="Comma [0] 5 2 2 5" xfId="708" xr:uid="{76EA8A7C-C8A8-4516-B7AA-3210945658D9}"/>
    <cellStyle name="Comma [0] 5 2 3" xfId="228" xr:uid="{2371820B-1A4B-4F61-B938-29B719E3622D}"/>
    <cellStyle name="Comma [0] 5 2 3 2" xfId="452" xr:uid="{2181DE3E-4A0B-4C49-AA86-FC97AB17BB44}"/>
    <cellStyle name="Comma [0] 5 2 3 2 2" xfId="633" xr:uid="{50AB1E50-9D00-48B8-B65C-C9859A0A6CAC}"/>
    <cellStyle name="Comma [0] 5 2 3 2 2 2" xfId="1103" xr:uid="{C47C79C8-39EF-4FCB-B7E9-27448674C901}"/>
    <cellStyle name="Comma [0] 5 2 3 2 3" xfId="934" xr:uid="{CC2B03EA-7FB9-4DCF-935C-280AD10EAEB2}"/>
    <cellStyle name="Comma [0] 5 2 3 3" xfId="349" xr:uid="{8D570E3F-AD21-4F5E-834D-CBADAE8DE8DA}"/>
    <cellStyle name="Comma [0] 5 2 3 3 2" xfId="849" xr:uid="{86D48552-5050-4A70-933C-4E63F58D09F0}"/>
    <cellStyle name="Comma [0] 5 2 3 4" xfId="543" xr:uid="{71195DA2-60A9-4135-BE8A-ECA5ACB185C4}"/>
    <cellStyle name="Comma [0] 5 2 3 4 2" xfId="1019" xr:uid="{D2F2AC60-70FB-4626-8DB1-F7EF1E02B7C1}"/>
    <cellStyle name="Comma [0] 5 2 3 5" xfId="739" xr:uid="{8692A1AB-32EB-4B6E-8CEE-84C025F34142}"/>
    <cellStyle name="Comma [0] 5 2 4" xfId="394" xr:uid="{264FDD23-243F-4E86-AED2-BCC90CA763AD}"/>
    <cellStyle name="Comma [0] 5 2 4 2" xfId="575" xr:uid="{F5EA830E-4471-4C49-A593-1483AA022B23}"/>
    <cellStyle name="Comma [0] 5 2 4 2 2" xfId="1049" xr:uid="{E39DD35B-8DD5-4970-9246-6018584D221C}"/>
    <cellStyle name="Comma [0] 5 2 4 3" xfId="880" xr:uid="{54C9C0E4-BD1A-4A8A-9705-D581CA36AEAD}"/>
    <cellStyle name="Comma [0] 5 2 5" xfId="290" xr:uid="{12CC555B-41E3-4E87-BBE0-2069AF872FA8}"/>
    <cellStyle name="Comma [0] 5 2 5 2" xfId="795" xr:uid="{04BEFEDF-0B23-4587-B5E3-F38D74712B82}"/>
    <cellStyle name="Comma [0] 5 2 6" xfId="485" xr:uid="{654FAAE7-FBF7-453F-AEEC-42A42E0B2090}"/>
    <cellStyle name="Comma [0] 5 2 6 2" xfId="965" xr:uid="{CA540950-D2DF-4203-83B2-3938201BCEE5}"/>
    <cellStyle name="Comma [0] 5 2 7" xfId="680" xr:uid="{C5202099-568E-48DD-8413-83121BE7B8F2}"/>
    <cellStyle name="Comma [0] 5 3" xfId="177" xr:uid="{F0933781-8448-462D-8005-FEB6C6DC65BE}"/>
    <cellStyle name="Comma [0] 5 3 2" xfId="239" xr:uid="{91021583-457D-4759-9954-E15FD1BFCF4D}"/>
    <cellStyle name="Comma [0] 5 3 2 2" xfId="405" xr:uid="{6491AC5A-D9FA-4DFA-A4AB-A5A5C67AFDEF}"/>
    <cellStyle name="Comma [0] 5 3 2 2 2" xfId="890" xr:uid="{F09B3359-87DF-467E-8547-9BE627646BB3}"/>
    <cellStyle name="Comma [0] 5 3 2 3" xfId="586" xr:uid="{89CCFACE-16A0-4651-BE5C-A95271B498D0}"/>
    <cellStyle name="Comma [0] 5 3 2 3 2" xfId="1059" xr:uid="{57FB2828-3E22-4594-B8E6-ADAFA8A9A1B1}"/>
    <cellStyle name="Comma [0] 5 3 2 4" xfId="749" xr:uid="{9ABB1DE8-477A-4B86-A1B3-47BC31EB535E}"/>
    <cellStyle name="Comma [0] 5 3 3" xfId="301" xr:uid="{6B25A272-0F5B-4574-A722-BA6E2900ECEC}"/>
    <cellStyle name="Comma [0] 5 3 3 2" xfId="805" xr:uid="{A646A3D0-6B7C-4685-BE83-4330FDC61C7E}"/>
    <cellStyle name="Comma [0] 5 3 4" xfId="496" xr:uid="{242B3FB3-360F-40CA-BA77-427C80C239BB}"/>
    <cellStyle name="Comma [0] 5 3 4 2" xfId="975" xr:uid="{A2F20CD0-8114-4772-91F0-7BABD0BD8488}"/>
    <cellStyle name="Comma [0] 5 3 5" xfId="691" xr:uid="{1359181C-020D-4613-984A-E5630F2A4110}"/>
    <cellStyle name="Comma [0] 5 4" xfId="210" xr:uid="{E5FDFB88-FDAA-4EE6-9A07-ED97FE7EC579}"/>
    <cellStyle name="Comma [0] 5 4 2" xfId="434" xr:uid="{148C3870-879F-441C-BAC6-7A76A1F5C2D2}"/>
    <cellStyle name="Comma [0] 5 4 2 2" xfId="615" xr:uid="{1B309488-AE6A-4AA6-9373-0F7DF73FDBF5}"/>
    <cellStyle name="Comma [0] 5 4 2 2 2" xfId="1086" xr:uid="{A8306D75-5D8B-4A54-AA6F-CCAA4F8F4300}"/>
    <cellStyle name="Comma [0] 5 4 2 3" xfId="917" xr:uid="{0041A43C-5A41-4234-BAE6-F47399C6BB17}"/>
    <cellStyle name="Comma [0] 5 4 3" xfId="330" xr:uid="{98AE657D-89A9-4578-AB45-36980CFA4969}"/>
    <cellStyle name="Comma [0] 5 4 3 2" xfId="832" xr:uid="{47BEBA58-86B9-41FB-9D4C-77F145BA9644}"/>
    <cellStyle name="Comma [0] 5 4 4" xfId="525" xr:uid="{B7676F4C-BCB1-4A9E-8704-B7A3A3F1EBA4}"/>
    <cellStyle name="Comma [0] 5 4 4 2" xfId="1002" xr:uid="{A98CC060-44B1-4494-ABAA-DE51B342450D}"/>
    <cellStyle name="Comma [0] 5 4 5" xfId="722" xr:uid="{422AA0ED-70F0-43AD-AF1C-9288299C26D3}"/>
    <cellStyle name="Comma [0] 5 5" xfId="376" xr:uid="{491F6D94-6137-4D33-BD86-2F5DB2A99FEC}"/>
    <cellStyle name="Comma [0] 5 5 2" xfId="557" xr:uid="{174BBD9E-0AAB-4C1C-A99B-F9A3211EFE34}"/>
    <cellStyle name="Comma [0] 5 5 2 2" xfId="1032" xr:uid="{3340DCBE-9C0C-4B7E-A3D4-8412183C3286}"/>
    <cellStyle name="Comma [0] 5 5 3" xfId="862" xr:uid="{DDF02E65-02DE-48E0-A9E3-A1090B172972}"/>
    <cellStyle name="Comma [0] 5 6" xfId="271" xr:uid="{6BE6CF9D-7765-477A-8368-54ED18B38207}"/>
    <cellStyle name="Comma [0] 5 6 2" xfId="778" xr:uid="{D216E795-793B-43FF-A63F-934AC645CEB7}"/>
    <cellStyle name="Comma [0] 5 7" xfId="467" xr:uid="{4FDA1239-62B0-4CEB-B3C8-A6698D7093D1}"/>
    <cellStyle name="Comma [0] 5 7 2" xfId="948" xr:uid="{A41EDBA4-4F0C-4D5D-BC61-42E9DF76973E}"/>
    <cellStyle name="Comma [0] 5 8" xfId="662" xr:uid="{D7675F75-F160-4166-8170-EBC6C29308BF}"/>
    <cellStyle name="Comma [0] 6" xfId="203" xr:uid="{974722B6-FEC9-41EF-897C-C627DE3DEE6E}"/>
    <cellStyle name="Comma [0] 6 2" xfId="459" xr:uid="{9CA32BDC-87F8-4F6A-81C3-555758EEFB94}"/>
    <cellStyle name="Comma [0] 6 2 2" xfId="941" xr:uid="{BD1DBD6E-CD76-4F3A-AD27-F1286D019719}"/>
    <cellStyle name="Comma [0] 6 3" xfId="640" xr:uid="{98C6BFE2-CD2E-4C79-AB4D-BD6F2C497AFA}"/>
    <cellStyle name="Comma [0] 6 3 2" xfId="1110" xr:uid="{D50757C2-918E-4664-BE42-0663291A2C10}"/>
    <cellStyle name="Comma [0] 6 4" xfId="716" xr:uid="{1BA02C75-8B27-42EA-A142-D9D1C950151A}"/>
    <cellStyle name="Comma [0] 7" xfId="262" xr:uid="{8789124F-CE1F-4CFA-8490-9A3CDE33D576}"/>
    <cellStyle name="Comma [0] 7 2" xfId="460" xr:uid="{83BE39A9-5B41-42BE-A3FF-AC4304F1AF88}"/>
    <cellStyle name="Comma [0] 7 2 2" xfId="942" xr:uid="{F809A30A-8C37-49C8-9A91-F333CCE7210A}"/>
    <cellStyle name="Comma [0] 7 3" xfId="641" xr:uid="{E1432032-16D0-4230-8342-0EE32B72064C}"/>
    <cellStyle name="Comma [0] 7 3 2" xfId="1111" xr:uid="{E8D7FCF9-8FCE-4ED2-9906-25DD4A4C6DD5}"/>
    <cellStyle name="Comma [0] 7 4" xfId="771" xr:uid="{F8EB0A72-133A-4AAF-9515-FB611FE0EEC2}"/>
    <cellStyle name="Comma [0] 8" xfId="264" xr:uid="{1093F4CB-E467-407D-AAF3-F5C509E125CE}"/>
    <cellStyle name="Comma [0] 8 2" xfId="772" xr:uid="{670AEBA2-0C96-45ED-9E54-D0B2DD38DCB7}"/>
    <cellStyle name="Comma [0] 9" xfId="369" xr:uid="{41418FCF-3077-4F6D-8094-97F0A52EA584}"/>
    <cellStyle name="Comma [0] 9 2" xfId="856" xr:uid="{54ABC8E2-5A6F-44D0-B0E4-23575231C447}"/>
    <cellStyle name="Comma 10" xfId="127" xr:uid="{C7C4F30F-79DF-4BFE-B6C1-E05658AAF874}"/>
    <cellStyle name="Comma 10 2" xfId="651" xr:uid="{9C5FBFC2-18D1-4DEF-89A6-DFE841810DAF}"/>
    <cellStyle name="Comma 10 2 2" xfId="133" xr:uid="{5D2F89B1-F240-4508-8AB9-25C3AAE88F3E}"/>
    <cellStyle name="Comma 10 2 2 2" xfId="161" xr:uid="{454F0CD4-2BAA-42E6-9EBF-00BAC633FBAF}"/>
    <cellStyle name="Comma 10 2 2 2 2" xfId="190" xr:uid="{13C377A8-F58B-4C9E-B845-3787C1227E52}"/>
    <cellStyle name="Comma 10 2 2 2 2 2" xfId="252" xr:uid="{327386FB-C37F-4901-8425-AF9E02E54DF3}"/>
    <cellStyle name="Comma 10 2 2 2 2 2 2" xfId="418" xr:uid="{9823FD5D-8C98-4DC2-A8F8-608A75713EB7}"/>
    <cellStyle name="Comma 10 2 2 2 2 2 2 2" xfId="902" xr:uid="{6EC334E8-B8C8-4CB5-BB65-0B483FB6532E}"/>
    <cellStyle name="Comma 10 2 2 2 2 2 3" xfId="599" xr:uid="{5CF88035-F8B1-43F9-B196-16DEE3F70F81}"/>
    <cellStyle name="Comma 10 2 2 2 2 2 3 2" xfId="1071" xr:uid="{75A69061-4EB2-4C7F-833C-6BCB81477BBC}"/>
    <cellStyle name="Comma 10 2 2 2 2 2 4" xfId="761" xr:uid="{3DD93B73-468B-47BE-A7A3-8B6FA7439408}"/>
    <cellStyle name="Comma 10 2 2 2 2 3" xfId="314" xr:uid="{56E847D9-E420-48CE-BA12-378A15899AB9}"/>
    <cellStyle name="Comma 10 2 2 2 2 3 2" xfId="817" xr:uid="{6A071F2A-9CDC-439E-A1A8-2334FF346424}"/>
    <cellStyle name="Comma 10 2 2 2 2 4" xfId="509" xr:uid="{E29746B1-559A-413B-B8E2-F7D76646A233}"/>
    <cellStyle name="Comma 10 2 2 2 2 4 2" xfId="987" xr:uid="{612181E9-B4D6-4B7B-B8D3-C07498D196EA}"/>
    <cellStyle name="Comma 10 2 2 2 2 5" xfId="703" xr:uid="{ECAE7E92-7906-45EB-BD7F-7B9F58B3BAF2}"/>
    <cellStyle name="Comma 10 2 2 2 3" xfId="223" xr:uid="{B3E70B81-A308-4707-B264-628F0A639DB6}"/>
    <cellStyle name="Comma 10 2 2 2 3 2" xfId="447" xr:uid="{AA419C35-A31F-4847-A25A-3DC45AE67774}"/>
    <cellStyle name="Comma 10 2 2 2 3 2 2" xfId="628" xr:uid="{216D2CF2-5056-436B-A9F6-3F20F5C8525D}"/>
    <cellStyle name="Comma 10 2 2 2 3 2 2 2" xfId="1098" xr:uid="{27EC1839-9C70-4B7A-A1AA-32E7F75F75DB}"/>
    <cellStyle name="Comma 10 2 2 2 3 2 3" xfId="929" xr:uid="{05335F57-1F20-4D0D-B26F-18D242E069F4}"/>
    <cellStyle name="Comma 10 2 2 2 3 3" xfId="344" xr:uid="{CCF0AFF7-D001-45E4-A217-66923BDE4F9C}"/>
    <cellStyle name="Comma 10 2 2 2 3 3 2" xfId="844" xr:uid="{2D3EA9F8-E624-4115-9D3B-96EC512786FD}"/>
    <cellStyle name="Comma 10 2 2 2 3 4" xfId="538" xr:uid="{9BA3F8E4-1BE0-4998-91B1-F77A4768DE5B}"/>
    <cellStyle name="Comma 10 2 2 2 3 4 2" xfId="1014" xr:uid="{636E9A06-8CBC-412D-9478-A03F2F2F3AEC}"/>
    <cellStyle name="Comma 10 2 2 2 3 5" xfId="734" xr:uid="{87FEC871-B799-4364-8719-59F80150A430}"/>
    <cellStyle name="Comma 10 2 2 2 4" xfId="389" xr:uid="{A0A84EC4-F7B6-43D0-8123-2F88123C6C71}"/>
    <cellStyle name="Comma 10 2 2 2 4 2" xfId="570" xr:uid="{ECFD27FB-D563-4772-977D-1AEE76F3FB0A}"/>
    <cellStyle name="Comma 10 2 2 2 4 2 2" xfId="1044" xr:uid="{FDB50258-50D1-4DF2-B969-C2363C2346E4}"/>
    <cellStyle name="Comma 10 2 2 2 4 3" xfId="875" xr:uid="{258C2458-9806-4471-AF0C-44C5D6BA78B0}"/>
    <cellStyle name="Comma 10 2 2 2 5" xfId="285" xr:uid="{D40B6E79-6734-4615-A619-3C97B50D6F1C}"/>
    <cellStyle name="Comma 10 2 2 2 5 2" xfId="790" xr:uid="{153CC4FD-4689-4A9D-9332-83B6AD23FC26}"/>
    <cellStyle name="Comma 10 2 2 2 6" xfId="480" xr:uid="{27AFA66C-75CF-4685-8872-CC2D8B1B27BA}"/>
    <cellStyle name="Comma 10 2 2 2 6 2" xfId="960" xr:uid="{2403A917-FCDE-4349-A6BB-32AE8BE44EFE}"/>
    <cellStyle name="Comma 10 2 2 2 7" xfId="675" xr:uid="{51BDC34E-FDE4-41AE-8A4A-4696A24B2663}"/>
    <cellStyle name="Comma 10 2 2 3" xfId="173" xr:uid="{D00572D0-0192-485A-8AB9-C1AAC88B48D6}"/>
    <cellStyle name="Comma 10 2 2 3 2" xfId="235" xr:uid="{77918EAF-7AB9-4C74-966F-A671748EFC69}"/>
    <cellStyle name="Comma 10 2 2 3 2 2" xfId="401" xr:uid="{05126D55-8B08-4269-9053-A660CCB4C38D}"/>
    <cellStyle name="Comma 10 2 2 3 2 2 2" xfId="886" xr:uid="{7EA39641-3905-471E-96AF-8C3EA4AC3574}"/>
    <cellStyle name="Comma 10 2 2 3 2 3" xfId="582" xr:uid="{9B296873-3D9C-4930-BBCF-B7BFB7B0F4F3}"/>
    <cellStyle name="Comma 10 2 2 3 2 3 2" xfId="1055" xr:uid="{A18BBE26-41C2-4462-AF16-E4AA2543C1C2}"/>
    <cellStyle name="Comma 10 2 2 3 2 4" xfId="745" xr:uid="{B53C2F49-517D-469C-A45A-DA792C2F34FB}"/>
    <cellStyle name="Comma 10 2 2 3 3" xfId="297" xr:uid="{63F14F30-45BA-44DC-8857-ADF97D7E6726}"/>
    <cellStyle name="Comma 10 2 2 3 3 2" xfId="801" xr:uid="{0AFFC6B6-7843-4DD3-86CC-5B13997F40D9}"/>
    <cellStyle name="Comma 10 2 2 3 4" xfId="492" xr:uid="{73415C72-6DC7-4805-BA31-F6A159A8A2AD}"/>
    <cellStyle name="Comma 10 2 2 3 4 2" xfId="971" xr:uid="{80E5B602-5F31-408E-B0C4-FB09C5A7E040}"/>
    <cellStyle name="Comma 10 2 2 3 5" xfId="687" xr:uid="{E073781E-1001-4006-8EC3-0FDAF49CDC49}"/>
    <cellStyle name="Comma 10 2 2 4" xfId="206" xr:uid="{F04F9280-DB72-413C-8E21-B39BC0A787BB}"/>
    <cellStyle name="Comma 10 2 2 4 2" xfId="430" xr:uid="{8AC080A0-E623-4127-BC41-7ECD1D4C5540}"/>
    <cellStyle name="Comma 10 2 2 4 2 2" xfId="611" xr:uid="{A7FD980A-A362-4405-8289-BA874B4541F4}"/>
    <cellStyle name="Comma 10 2 2 4 2 2 2" xfId="1082" xr:uid="{F59F57F6-6DD8-44E7-9B68-AE03C999F7F4}"/>
    <cellStyle name="Comma 10 2 2 4 2 3" xfId="913" xr:uid="{237CAD8A-941C-4A24-BD11-12E1391F4454}"/>
    <cellStyle name="Comma 10 2 2 4 3" xfId="326" xr:uid="{B7698797-A576-4EB3-B2C6-070C1BAC2842}"/>
    <cellStyle name="Comma 10 2 2 4 3 2" xfId="828" xr:uid="{FF45DF2A-8F86-424E-B24B-3241124B3D4A}"/>
    <cellStyle name="Comma 10 2 2 4 4" xfId="521" xr:uid="{2779799D-F54A-4CA7-A277-CAC6DCD8AEAA}"/>
    <cellStyle name="Comma 10 2 2 4 4 2" xfId="998" xr:uid="{65045747-C368-43C1-9595-B0A4234E9038}"/>
    <cellStyle name="Comma 10 2 2 4 5" xfId="718" xr:uid="{8979EE7E-BF09-4AD3-B4BE-03D138CFE6C9}"/>
    <cellStyle name="Comma 10 2 2 5" xfId="372" xr:uid="{E3861619-0625-4EAC-892B-F9808AEDEF19}"/>
    <cellStyle name="Comma 10 2 2 5 2" xfId="553" xr:uid="{0952730D-63E9-41B2-AA86-FF1CDBD00B99}"/>
    <cellStyle name="Comma 10 2 2 5 2 2" xfId="1028" xr:uid="{C946988D-FE58-477A-89CF-4F1C3743A4F5}"/>
    <cellStyle name="Comma 10 2 2 5 3" xfId="858" xr:uid="{55BB5160-889C-4D18-87BB-F55360D19E79}"/>
    <cellStyle name="Comma 10 2 2 6" xfId="267" xr:uid="{33E98482-CE67-4D2F-9376-4CA3CCAC23DC}"/>
    <cellStyle name="Comma 10 2 2 6 2" xfId="774" xr:uid="{09CE3803-4468-4883-AE0C-48FB01BF84EF}"/>
    <cellStyle name="Comma 10 2 2 7" xfId="463" xr:uid="{BDEBC8A9-5CC7-4044-AAF8-E613C46F5A68}"/>
    <cellStyle name="Comma 10 2 2 7 2" xfId="944" xr:uid="{EA97EC3E-1C3E-40A4-9225-FDC50B8CD2DA}"/>
    <cellStyle name="Comma 10 2 2 8" xfId="657" xr:uid="{EA56968F-8D19-435E-B1CD-8DDCF35D9963}"/>
    <cellStyle name="Comma 11" xfId="129" xr:uid="{ECEADECF-E8BD-4893-B290-A62FE9EFFCC7}"/>
    <cellStyle name="Comma 11 2" xfId="157" xr:uid="{B92B5B80-44C5-4797-B70D-59285564738C}"/>
    <cellStyle name="Comma 11 2 2" xfId="186" xr:uid="{455AEE0E-5AE1-4BDB-B1B2-6667543A6BEE}"/>
    <cellStyle name="Comma 11 2 2 2" xfId="248" xr:uid="{3391FB4D-9293-4A12-AE60-FDB6E3DA5584}"/>
    <cellStyle name="Comma 11 2 2 2 2" xfId="414" xr:uid="{1333B7A7-C195-46B6-9E53-CBC13F2768A5}"/>
    <cellStyle name="Comma 11 2 2 2 2 2" xfId="898" xr:uid="{9DC35C62-8207-445C-81A8-4B9CE6C6C522}"/>
    <cellStyle name="Comma 11 2 2 2 3" xfId="595" xr:uid="{B9546DF3-FA93-41CA-8352-1099B0CA023D}"/>
    <cellStyle name="Comma 11 2 2 2 3 2" xfId="1067" xr:uid="{B723EEAD-D52D-4578-B80B-CEBBDDE5E710}"/>
    <cellStyle name="Comma 11 2 2 2 4" xfId="757" xr:uid="{D8CDA108-0274-4DDC-BA0D-D0C25053A1E8}"/>
    <cellStyle name="Comma 11 2 2 3" xfId="310" xr:uid="{DE74F211-62D7-46AA-89E4-4277624604CD}"/>
    <cellStyle name="Comma 11 2 2 3 2" xfId="813" xr:uid="{F3486BE1-664C-47B5-B15E-4759DF2AAAC5}"/>
    <cellStyle name="Comma 11 2 2 4" xfId="505" xr:uid="{B4673D11-8127-4DFF-89EF-F7204B39CEB0}"/>
    <cellStyle name="Comma 11 2 2 4 2" xfId="983" xr:uid="{25D404DB-9210-4DE5-B14A-B9CFA7CFE49A}"/>
    <cellStyle name="Comma 11 2 2 5" xfId="699" xr:uid="{07418FD1-269B-444A-AB2F-8C7151ACAC53}"/>
    <cellStyle name="Comma 11 2 3" xfId="219" xr:uid="{DD45409F-4975-4039-BD4C-598F87B65510}"/>
    <cellStyle name="Comma 11 2 3 2" xfId="443" xr:uid="{2A09B4E3-A811-430A-8D66-FD7E8CFF55A8}"/>
    <cellStyle name="Comma 11 2 3 2 2" xfId="624" xr:uid="{C39BCD2F-D88A-45CE-9AE8-0BA4A2E56BA8}"/>
    <cellStyle name="Comma 11 2 3 2 2 2" xfId="1094" xr:uid="{51C3C562-895E-46F6-BFF2-B366FEECBE60}"/>
    <cellStyle name="Comma 11 2 3 2 3" xfId="925" xr:uid="{B0315B1E-53D1-438E-88D5-7A5F284DEFE7}"/>
    <cellStyle name="Comma 11 2 3 3" xfId="340" xr:uid="{94331CF0-2064-4EAD-8A23-E1AA18074E2A}"/>
    <cellStyle name="Comma 11 2 3 3 2" xfId="840" xr:uid="{5A9152E0-64A0-45C6-B267-A6190EF2F704}"/>
    <cellStyle name="Comma 11 2 3 4" xfId="534" xr:uid="{87C76D4B-7A51-42A7-B4BE-E6DCE290B5C1}"/>
    <cellStyle name="Comma 11 2 3 4 2" xfId="1010" xr:uid="{6BCB8DED-C1DB-4588-9F5F-1997762E6B4F}"/>
    <cellStyle name="Comma 11 2 3 5" xfId="730" xr:uid="{08BD1146-BDD0-4DB7-A9D3-A5DB15D0D1D6}"/>
    <cellStyle name="Comma 11 2 4" xfId="385" xr:uid="{0E88FF76-221D-406D-8724-793076D877F9}"/>
    <cellStyle name="Comma 11 2 4 2" xfId="566" xr:uid="{7BC7F08A-5EC9-4004-A977-1DE53CB784E2}"/>
    <cellStyle name="Comma 11 2 4 2 2" xfId="1040" xr:uid="{947326E1-C431-4E68-9D66-FE2D0BB02A99}"/>
    <cellStyle name="Comma 11 2 4 3" xfId="871" xr:uid="{3D43EC04-B315-4438-B9BA-9AFB9B9D8620}"/>
    <cellStyle name="Comma 11 2 5" xfId="281" xr:uid="{51EA2F70-5361-4DFD-8879-966BAC0BD8E8}"/>
    <cellStyle name="Comma 11 2 5 2" xfId="786" xr:uid="{8820B383-0982-45E3-A68C-1FDCE3894F27}"/>
    <cellStyle name="Comma 11 2 6" xfId="476" xr:uid="{73645D3A-93A3-4BF5-A545-C9BB41F3D8AB}"/>
    <cellStyle name="Comma 11 2 6 2" xfId="956" xr:uid="{DC24BFE3-808B-48FB-B028-CBB89DBFEF0C}"/>
    <cellStyle name="Comma 11 2 7" xfId="671" xr:uid="{1272FCAC-A707-4E25-A6A4-BEF6F55EC1F1}"/>
    <cellStyle name="Comma 11 3" xfId="653" xr:uid="{FB5096C9-F7A4-4477-8C69-2868935343AF}"/>
    <cellStyle name="Comma 12" xfId="128" xr:uid="{4855D84D-56F9-4B59-8658-65F74DDA2C50}"/>
    <cellStyle name="Comma 12 2" xfId="156" xr:uid="{11F6F8B9-70F7-439C-B969-CE74E434EFA9}"/>
    <cellStyle name="Comma 12 2 2" xfId="185" xr:uid="{2D035411-4260-4D6C-B39D-0EE4CC97096C}"/>
    <cellStyle name="Comma 12 2 2 2" xfId="247" xr:uid="{2E622FD8-6DC1-4BA6-B887-B705948AF060}"/>
    <cellStyle name="Comma 12 2 2 2 2" xfId="413" xr:uid="{96489531-8492-49D3-AC9A-C953DFB40776}"/>
    <cellStyle name="Comma 12 2 2 2 2 2" xfId="897" xr:uid="{9337274E-F887-4B79-87F4-47CD23FF7171}"/>
    <cellStyle name="Comma 12 2 2 2 3" xfId="594" xr:uid="{28D33BC0-D13A-472F-B1EA-6F77851972CC}"/>
    <cellStyle name="Comma 12 2 2 2 3 2" xfId="1066" xr:uid="{8389899C-F44B-4DDD-9C56-FE689581D076}"/>
    <cellStyle name="Comma 12 2 2 2 4" xfId="756" xr:uid="{65118A8A-6404-4335-908B-762F60CFDA67}"/>
    <cellStyle name="Comma 12 2 2 3" xfId="309" xr:uid="{65BD4F59-EFA0-466F-A845-B90E632C6C28}"/>
    <cellStyle name="Comma 12 2 2 3 2" xfId="812" xr:uid="{35A31BFA-8598-49E6-AAA3-22CF1BC32363}"/>
    <cellStyle name="Comma 12 2 2 4" xfId="504" xr:uid="{669E31B5-E13F-4C65-9BCD-4B3E795C5BEC}"/>
    <cellStyle name="Comma 12 2 2 4 2" xfId="982" xr:uid="{A1270501-D598-4B49-8507-05A6D8BF9A5D}"/>
    <cellStyle name="Comma 12 2 2 5" xfId="698" xr:uid="{8529498B-26E6-466C-B05A-0DD92E8B523A}"/>
    <cellStyle name="Comma 12 2 3" xfId="218" xr:uid="{B23F39F2-57E3-4C33-BF6D-EA8D22035F79}"/>
    <cellStyle name="Comma 12 2 3 2" xfId="442" xr:uid="{E664A335-AFA5-4138-9A75-3B23042D2B91}"/>
    <cellStyle name="Comma 12 2 3 2 2" xfId="623" xr:uid="{6B80924C-08FA-4BB0-9078-2DB70313563F}"/>
    <cellStyle name="Comma 12 2 3 2 2 2" xfId="1093" xr:uid="{D15343D8-0FB5-4124-B1EB-35EAD083402B}"/>
    <cellStyle name="Comma 12 2 3 2 3" xfId="924" xr:uid="{78A875FB-B6BC-44E0-AFCA-2D86EACB5265}"/>
    <cellStyle name="Comma 12 2 3 3" xfId="339" xr:uid="{8E1B4B57-602F-4005-8BB3-AD172C0C1598}"/>
    <cellStyle name="Comma 12 2 3 3 2" xfId="839" xr:uid="{4008F9A8-E584-4B50-A073-52A1C8FFA395}"/>
    <cellStyle name="Comma 12 2 3 4" xfId="533" xr:uid="{2939A8B5-8403-43B0-928C-824A1C68473C}"/>
    <cellStyle name="Comma 12 2 3 4 2" xfId="1009" xr:uid="{6F6CC2D4-B5B0-479A-9D83-85E92F7BA984}"/>
    <cellStyle name="Comma 12 2 3 5" xfId="729" xr:uid="{F39C3289-F7AC-4167-9209-7F004486659F}"/>
    <cellStyle name="Comma 12 2 4" xfId="384" xr:uid="{62F399A6-34DE-4CA6-BD74-88F74B09789D}"/>
    <cellStyle name="Comma 12 2 4 2" xfId="565" xr:uid="{F3327A70-BDC4-4085-AEA5-FAEEA469D4D8}"/>
    <cellStyle name="Comma 12 2 4 2 2" xfId="1039" xr:uid="{633C3A66-3117-41EC-9D05-8FA99F8BFE53}"/>
    <cellStyle name="Comma 12 2 4 3" xfId="870" xr:uid="{335FA65E-C261-4F9F-9463-1354A3D37C08}"/>
    <cellStyle name="Comma 12 2 5" xfId="280" xr:uid="{F5FDEA55-F365-4E37-9011-B40E2DD70EA4}"/>
    <cellStyle name="Comma 12 2 5 2" xfId="785" xr:uid="{3CCC4E78-E104-4B5F-AEF0-DA03E0CB4F50}"/>
    <cellStyle name="Comma 12 2 6" xfId="475" xr:uid="{E2471A6A-2A57-418B-BAAF-776517EA9643}"/>
    <cellStyle name="Comma 12 2 6 2" xfId="955" xr:uid="{1D26298E-E42F-4482-9232-BA438D8E345B}"/>
    <cellStyle name="Comma 12 2 7" xfId="670" xr:uid="{C77CC1C8-85E1-4A14-A652-EFF2C48A261B}"/>
    <cellStyle name="Comma 12 3" xfId="652" xr:uid="{22387EFE-442D-44B0-A3B0-D5CEA207F98F}"/>
    <cellStyle name="Comma 13" xfId="130" xr:uid="{E4FC6D12-6F43-462D-8A21-FBED6AA6637B}"/>
    <cellStyle name="Comma 13 2" xfId="158" xr:uid="{3FB63181-E846-4F1D-BFBF-96C79FF272A1}"/>
    <cellStyle name="Comma 13 2 2" xfId="187" xr:uid="{CE0096D2-081E-450C-9C0F-E1B11BE14FAD}"/>
    <cellStyle name="Comma 13 2 2 2" xfId="249" xr:uid="{FA10B6DB-4093-45A5-99B0-FA7ED422D7AE}"/>
    <cellStyle name="Comma 13 2 2 2 2" xfId="415" xr:uid="{DACF568B-3F5D-450A-8057-C337C8FFB7D6}"/>
    <cellStyle name="Comma 13 2 2 2 2 2" xfId="899" xr:uid="{8995350D-82E0-47DA-A6D5-237A1265805F}"/>
    <cellStyle name="Comma 13 2 2 2 3" xfId="596" xr:uid="{03468FB6-1F20-421C-A819-7CC30B413E52}"/>
    <cellStyle name="Comma 13 2 2 2 3 2" xfId="1068" xr:uid="{FAA58437-FCCE-4120-9D4F-A64FA5DCCCBE}"/>
    <cellStyle name="Comma 13 2 2 2 4" xfId="758" xr:uid="{C8DBDFE6-CC5A-4773-AED1-DFD5D4162B4A}"/>
    <cellStyle name="Comma 13 2 2 3" xfId="311" xr:uid="{DF7ACD7D-634F-4524-9551-3411B09B8D89}"/>
    <cellStyle name="Comma 13 2 2 3 2" xfId="814" xr:uid="{CD0A396D-40B6-4DC3-B70C-92567B6B5757}"/>
    <cellStyle name="Comma 13 2 2 4" xfId="506" xr:uid="{55074EFC-2857-4B67-B94A-BEADCA2807BE}"/>
    <cellStyle name="Comma 13 2 2 4 2" xfId="984" xr:uid="{D2343F5D-8CAD-4C00-BC59-FBDFCDB7A9EC}"/>
    <cellStyle name="Comma 13 2 2 5" xfId="700" xr:uid="{25AA7278-A13D-4FF9-A974-41D014A9C0DA}"/>
    <cellStyle name="Comma 13 2 3" xfId="220" xr:uid="{6A4EA14A-B9D6-46E0-96B1-E010FCDFA657}"/>
    <cellStyle name="Comma 13 2 3 2" xfId="444" xr:uid="{52BE6B52-1BF0-4D31-BA11-55BC77F11A85}"/>
    <cellStyle name="Comma 13 2 3 2 2" xfId="625" xr:uid="{CAA0C521-F843-44DB-8D32-153210E06828}"/>
    <cellStyle name="Comma 13 2 3 2 2 2" xfId="1095" xr:uid="{B144BAE8-81C7-4693-B78A-540DC0355BD6}"/>
    <cellStyle name="Comma 13 2 3 2 3" xfId="926" xr:uid="{717E6B89-811F-422C-9C4B-23348E3C0E21}"/>
    <cellStyle name="Comma 13 2 3 3" xfId="341" xr:uid="{46B91908-2C0D-4C6E-94A0-968D09454D8C}"/>
    <cellStyle name="Comma 13 2 3 3 2" xfId="841" xr:uid="{2CDBA064-DC2E-417D-86E2-C2ACD5332AFD}"/>
    <cellStyle name="Comma 13 2 3 4" xfId="535" xr:uid="{73F8E954-344A-4A81-AB70-0B5B817118F7}"/>
    <cellStyle name="Comma 13 2 3 4 2" xfId="1011" xr:uid="{66746EBC-0B7D-4445-B63A-20F0E7A7F615}"/>
    <cellStyle name="Comma 13 2 3 5" xfId="731" xr:uid="{F66D6F7F-972C-4ACF-AB0B-6F6C1A937BFA}"/>
    <cellStyle name="Comma 13 2 4" xfId="386" xr:uid="{8661CD2B-ECFF-4B27-A13A-D1E3E59E5798}"/>
    <cellStyle name="Comma 13 2 4 2" xfId="567" xr:uid="{4FA13E40-DD78-4240-9148-E5E59A4DD88E}"/>
    <cellStyle name="Comma 13 2 4 2 2" xfId="1041" xr:uid="{F22EE284-70BE-47C5-BDEE-6725C6C62C51}"/>
    <cellStyle name="Comma 13 2 4 3" xfId="872" xr:uid="{9B30442A-A064-4F9A-9F1F-2A99AD7CE1DB}"/>
    <cellStyle name="Comma 13 2 5" xfId="282" xr:uid="{356A17C5-0664-49BE-8274-FED0B352EAC1}"/>
    <cellStyle name="Comma 13 2 5 2" xfId="787" xr:uid="{A000F393-2DBE-48E1-B237-2ED9A25D2618}"/>
    <cellStyle name="Comma 13 2 6" xfId="477" xr:uid="{C7708059-742F-4C74-94A7-EBDE0FE0F9B1}"/>
    <cellStyle name="Comma 13 2 6 2" xfId="957" xr:uid="{5DA1E903-44A0-4E87-9389-43C07EF778B5}"/>
    <cellStyle name="Comma 13 2 7" xfId="672" xr:uid="{89137393-A1E8-41B5-A266-B96F4F1847AC}"/>
    <cellStyle name="Comma 13 3" xfId="654" xr:uid="{14F5DE73-622C-4148-810F-F4CD2E2DB156}"/>
    <cellStyle name="Comma 14" xfId="131" xr:uid="{62AD389D-9BA3-4790-ACB3-66492BED9664}"/>
    <cellStyle name="Comma 14 2" xfId="159" xr:uid="{7119817A-09CC-49A9-A96B-3D4C3196ACE4}"/>
    <cellStyle name="Comma 14 2 2" xfId="188" xr:uid="{4CA21D80-0ADB-4787-8588-2D0907380320}"/>
    <cellStyle name="Comma 14 2 2 2" xfId="250" xr:uid="{84B77894-BC54-4D4C-902F-4BB13EEFC91B}"/>
    <cellStyle name="Comma 14 2 2 2 2" xfId="416" xr:uid="{E5E34492-24DB-4953-8013-28558CC6ED7A}"/>
    <cellStyle name="Comma 14 2 2 2 2 2" xfId="900" xr:uid="{49FDAC57-9BC3-49F1-BC96-2398E7F08FCC}"/>
    <cellStyle name="Comma 14 2 2 2 3" xfId="597" xr:uid="{1149A74C-CEEE-44B5-9F69-A721478E3762}"/>
    <cellStyle name="Comma 14 2 2 2 3 2" xfId="1069" xr:uid="{1C24C5B5-4DAD-4E48-8036-2246F9CC85FE}"/>
    <cellStyle name="Comma 14 2 2 2 4" xfId="759" xr:uid="{70A4487F-92FF-4339-8DB0-BD3D76DFB2E4}"/>
    <cellStyle name="Comma 14 2 2 3" xfId="312" xr:uid="{38918B94-2911-493F-9F5B-97940CF3DAC3}"/>
    <cellStyle name="Comma 14 2 2 3 2" xfId="815" xr:uid="{31C6920A-36AA-43E4-A62F-014FBC7F1619}"/>
    <cellStyle name="Comma 14 2 2 4" xfId="507" xr:uid="{C9FBBC4F-5AB4-4C6C-A29E-B514F298BE72}"/>
    <cellStyle name="Comma 14 2 2 4 2" xfId="985" xr:uid="{6E623477-0EA8-4C46-98E1-2B067586513C}"/>
    <cellStyle name="Comma 14 2 2 5" xfId="701" xr:uid="{473C3C63-F0C6-4714-A02A-22635F6A63D0}"/>
    <cellStyle name="Comma 14 2 3" xfId="221" xr:uid="{A5B17479-EDAF-4D5E-A58F-DC0071F4F6D1}"/>
    <cellStyle name="Comma 14 2 3 2" xfId="445" xr:uid="{3819944C-B5A4-4152-AB44-C1B1B7EF22BE}"/>
    <cellStyle name="Comma 14 2 3 2 2" xfId="626" xr:uid="{2578804F-1EB1-41C7-87D9-80B571466B8E}"/>
    <cellStyle name="Comma 14 2 3 2 2 2" xfId="1096" xr:uid="{B805335A-D51F-4E5E-AFCC-F56741914EA4}"/>
    <cellStyle name="Comma 14 2 3 2 3" xfId="927" xr:uid="{A91573CF-BF47-415A-A514-4E746919736B}"/>
    <cellStyle name="Comma 14 2 3 3" xfId="342" xr:uid="{C6AE23A0-48E6-48F7-B519-6D86BEA60213}"/>
    <cellStyle name="Comma 14 2 3 3 2" xfId="842" xr:uid="{8CFBD945-6D0E-4F0D-A522-D86A09D9C700}"/>
    <cellStyle name="Comma 14 2 3 4" xfId="536" xr:uid="{94CD40B7-AD26-4969-A3D6-E2CA83C3706B}"/>
    <cellStyle name="Comma 14 2 3 4 2" xfId="1012" xr:uid="{89CCDC52-B087-49A0-9DC5-D798F01B7184}"/>
    <cellStyle name="Comma 14 2 3 5" xfId="732" xr:uid="{70F5D9C1-B53D-463E-AFC0-BA87257CD436}"/>
    <cellStyle name="Comma 14 2 4" xfId="387" xr:uid="{1E4BEF13-A3FC-48B5-8B97-7BF3972416F3}"/>
    <cellStyle name="Comma 14 2 4 2" xfId="568" xr:uid="{5D337A46-DC4A-458D-9A75-B680E2E32D8D}"/>
    <cellStyle name="Comma 14 2 4 2 2" xfId="1042" xr:uid="{BE4F4478-BE46-4EBA-8F95-0B0B53F038B7}"/>
    <cellStyle name="Comma 14 2 4 3" xfId="873" xr:uid="{48E7EBE0-0EDA-4439-87EB-466EED6D2B4A}"/>
    <cellStyle name="Comma 14 2 5" xfId="283" xr:uid="{B11F1D7B-410B-4BCE-B764-659733658719}"/>
    <cellStyle name="Comma 14 2 5 2" xfId="788" xr:uid="{0A3C8F5F-C03D-4DF1-B49D-788B14C49C0B}"/>
    <cellStyle name="Comma 14 2 6" xfId="478" xr:uid="{F89116F3-F34B-411E-B6DC-81B79AA4FDB9}"/>
    <cellStyle name="Comma 14 2 6 2" xfId="958" xr:uid="{E13EC177-72EA-4767-9703-5BBE3925E9AF}"/>
    <cellStyle name="Comma 14 2 7" xfId="673" xr:uid="{2D9E55AD-F047-4E39-914C-189DD5C8FD56}"/>
    <cellStyle name="Comma 14 3" xfId="655" xr:uid="{C6EDE10F-9B7D-4BCA-9A27-F0F106E0FA4C}"/>
    <cellStyle name="Comma 15" xfId="132" xr:uid="{654A6901-A584-4899-8701-A5F7ED87F7B3}"/>
    <cellStyle name="Comma 15 2" xfId="160" xr:uid="{FFD5E89F-03B5-4018-9B1F-DB9211D21BF6}"/>
    <cellStyle name="Comma 15 2 2" xfId="189" xr:uid="{96224958-8C21-474A-9A65-047E14C1ABB7}"/>
    <cellStyle name="Comma 15 2 2 2" xfId="251" xr:uid="{F56890C3-5A59-4A58-BCBC-D0159A8F1C8E}"/>
    <cellStyle name="Comma 15 2 2 2 2" xfId="417" xr:uid="{9F6B916F-0D8B-4F6E-8885-77A7EE49CA0B}"/>
    <cellStyle name="Comma 15 2 2 2 2 2" xfId="901" xr:uid="{977D51B1-D590-4327-A329-F0476C54424D}"/>
    <cellStyle name="Comma 15 2 2 2 3" xfId="598" xr:uid="{13753720-DFB4-4285-9C57-723856A01BC2}"/>
    <cellStyle name="Comma 15 2 2 2 3 2" xfId="1070" xr:uid="{0A49FF6C-6186-4695-BA10-BB73D2F942C6}"/>
    <cellStyle name="Comma 15 2 2 2 4" xfId="760" xr:uid="{2E368827-7846-4713-8BC8-2CB20BF194CB}"/>
    <cellStyle name="Comma 15 2 2 3" xfId="313" xr:uid="{8E3785AA-FCE5-4F73-939B-BA7AEFD6359F}"/>
    <cellStyle name="Comma 15 2 2 3 2" xfId="816" xr:uid="{C780B80F-55EC-464D-B570-07431B2B0B91}"/>
    <cellStyle name="Comma 15 2 2 4" xfId="508" xr:uid="{708EB1C1-88B3-4471-8B7B-AD2F96F6E39E}"/>
    <cellStyle name="Comma 15 2 2 4 2" xfId="986" xr:uid="{7C9CD990-21E9-4940-B5C4-4F3F04E6F527}"/>
    <cellStyle name="Comma 15 2 2 5" xfId="702" xr:uid="{68ACB016-B1C0-4256-BFDB-6C795C4DBB68}"/>
    <cellStyle name="Comma 15 2 3" xfId="222" xr:uid="{7F42B170-E896-47FF-8A2C-9E198F361B0C}"/>
    <cellStyle name="Comma 15 2 3 2" xfId="446" xr:uid="{98D891A5-AEA1-442C-A59E-DC24D627A935}"/>
    <cellStyle name="Comma 15 2 3 2 2" xfId="627" xr:uid="{CD78514D-AE8E-4A0B-916D-6AD826160639}"/>
    <cellStyle name="Comma 15 2 3 2 2 2" xfId="1097" xr:uid="{7C256337-ABBC-408A-9276-17C3CF54F98F}"/>
    <cellStyle name="Comma 15 2 3 2 3" xfId="928" xr:uid="{321D3376-D40A-4604-92DC-8127E70231E8}"/>
    <cellStyle name="Comma 15 2 3 3" xfId="343" xr:uid="{AA827444-7E23-44F8-B35A-90EA9CA866F5}"/>
    <cellStyle name="Comma 15 2 3 3 2" xfId="843" xr:uid="{D74EF667-BCCD-4D67-8A2B-FB7A0A59D5FB}"/>
    <cellStyle name="Comma 15 2 3 4" xfId="537" xr:uid="{6DDBCE3A-DBA1-4C3E-BC1E-6260248747D3}"/>
    <cellStyle name="Comma 15 2 3 4 2" xfId="1013" xr:uid="{D790771A-66F1-418B-B2EE-35DF058EE60E}"/>
    <cellStyle name="Comma 15 2 3 5" xfId="733" xr:uid="{83B4C62F-9EE0-4957-9203-B0A2E8941135}"/>
    <cellStyle name="Comma 15 2 4" xfId="388" xr:uid="{10361959-0BDC-454B-89AE-EF27FE041CE6}"/>
    <cellStyle name="Comma 15 2 4 2" xfId="569" xr:uid="{18F510EE-09A0-442C-8BD7-AE05AF2EBCB2}"/>
    <cellStyle name="Comma 15 2 4 2 2" xfId="1043" xr:uid="{6C27C307-CA80-4A66-9172-2B8814E3331D}"/>
    <cellStyle name="Comma 15 2 4 3" xfId="874" xr:uid="{9A45D521-AACA-48E1-BE4F-1ED6FF784A86}"/>
    <cellStyle name="Comma 15 2 5" xfId="284" xr:uid="{9989C50D-344C-46A6-81D0-FF5CB7F79301}"/>
    <cellStyle name="Comma 15 2 5 2" xfId="789" xr:uid="{7F282E55-6B95-4442-AAEC-D1E49085F238}"/>
    <cellStyle name="Comma 15 2 6" xfId="479" xr:uid="{F61AC1C1-FBFE-4034-AA9C-DD47AF40B9DA}"/>
    <cellStyle name="Comma 15 2 6 2" xfId="959" xr:uid="{E95813AB-A7A0-454E-AB17-6FD59FF5DDA4}"/>
    <cellStyle name="Comma 15 2 7" xfId="674" xr:uid="{12C6E347-A6AD-4DC0-8CA1-82785473AA9F}"/>
    <cellStyle name="Comma 15 3" xfId="656" xr:uid="{AF53E603-C5DA-4421-8B27-A0CB342642B3}"/>
    <cellStyle name="Comma 16" xfId="145" xr:uid="{77D8BFCD-9994-42D5-8788-E3F5100A392B}"/>
    <cellStyle name="Comma 16 2" xfId="168" xr:uid="{3F9D1C0D-13A3-459B-8DA2-701BCE4D9DA2}"/>
    <cellStyle name="Comma 16 2 2" xfId="197" xr:uid="{0A0D88FA-CD19-45AE-8C4F-907088272FE1}"/>
    <cellStyle name="Comma 16 2 2 2" xfId="259" xr:uid="{9BC13E1B-E43D-4832-96D5-EFE7F416F237}"/>
    <cellStyle name="Comma 16 2 2 2 2" xfId="425" xr:uid="{451EC1A9-938C-4FAD-8032-092501C4A088}"/>
    <cellStyle name="Comma 16 2 2 2 2 2" xfId="909" xr:uid="{46555A1B-7574-45BC-86D4-114E4A54B002}"/>
    <cellStyle name="Comma 16 2 2 2 3" xfId="606" xr:uid="{D84FAAB2-BE2F-4FE3-A7B2-C4C21883F6CF}"/>
    <cellStyle name="Comma 16 2 2 2 3 2" xfId="1078" xr:uid="{56259846-DA65-46F7-BA80-B174F732AC81}"/>
    <cellStyle name="Comma 16 2 2 2 4" xfId="768" xr:uid="{0BA4829F-5035-4EB2-BFE5-4A1D837CE245}"/>
    <cellStyle name="Comma 16 2 2 3" xfId="321" xr:uid="{EAAC9A16-89E4-495A-8AD4-E8C298FD991D}"/>
    <cellStyle name="Comma 16 2 2 3 2" xfId="824" xr:uid="{0EDD9AAB-4AC4-4D01-B108-F2E1881D449A}"/>
    <cellStyle name="Comma 16 2 2 4" xfId="516" xr:uid="{13D44C60-0D1F-4779-B0B0-CE0ED97266B2}"/>
    <cellStyle name="Comma 16 2 2 4 2" xfId="994" xr:uid="{E5E06078-8411-417E-982A-AB2B8219A7DD}"/>
    <cellStyle name="Comma 16 2 2 5" xfId="710" xr:uid="{52FA06D5-F7A2-4651-8E8F-8ADE627DDB15}"/>
    <cellStyle name="Comma 16 2 3" xfId="230" xr:uid="{AAA6CE15-9BE1-4BB0-BF5A-6B6D0401D177}"/>
    <cellStyle name="Comma 16 2 3 2" xfId="454" xr:uid="{545D5F88-0B42-4033-8796-0AD8BFA045CC}"/>
    <cellStyle name="Comma 16 2 3 2 2" xfId="635" xr:uid="{233C19E8-38A9-4E5E-870C-6C8E1E9A2138}"/>
    <cellStyle name="Comma 16 2 3 2 2 2" xfId="1105" xr:uid="{582736E0-9B86-4AEE-A363-6B1DD3C2C61B}"/>
    <cellStyle name="Comma 16 2 3 2 3" xfId="936" xr:uid="{98F37CDB-ED45-4648-9D6F-67CC8268363D}"/>
    <cellStyle name="Comma 16 2 3 3" xfId="351" xr:uid="{1F0DEF07-CD05-466E-8E9F-A6C5C640D65B}"/>
    <cellStyle name="Comma 16 2 3 3 2" xfId="851" xr:uid="{8960BDD6-E4FD-4A3D-B531-A4E09792AB6E}"/>
    <cellStyle name="Comma 16 2 3 4" xfId="545" xr:uid="{A552264B-F8C1-4802-A7C4-E42CC1802CF2}"/>
    <cellStyle name="Comma 16 2 3 4 2" xfId="1021" xr:uid="{B612BBF2-6DD1-4A7D-80FF-265F3C2659DE}"/>
    <cellStyle name="Comma 16 2 3 5" xfId="741" xr:uid="{64997477-2C93-45AB-BD4B-50B783A7B72D}"/>
    <cellStyle name="Comma 16 2 4" xfId="396" xr:uid="{0C8AC6C3-EAF7-4E3C-A8BC-B346DE8C5C5C}"/>
    <cellStyle name="Comma 16 2 4 2" xfId="577" xr:uid="{AF790018-F080-489D-A87E-2ECCC713CF73}"/>
    <cellStyle name="Comma 16 2 4 2 2" xfId="1051" xr:uid="{2C055C82-2B35-4E8E-B353-0164F31D947B}"/>
    <cellStyle name="Comma 16 2 4 3" xfId="882" xr:uid="{767B6070-3E42-4DDF-AF53-392F7CBEA9A4}"/>
    <cellStyle name="Comma 16 2 5" xfId="292" xr:uid="{014950FC-3816-43BA-895D-29AF66D74E8C}"/>
    <cellStyle name="Comma 16 2 5 2" xfId="797" xr:uid="{E17C62B7-2A48-4B0C-8903-75C4EFB4E8AC}"/>
    <cellStyle name="Comma 16 2 6" xfId="487" xr:uid="{CA4878A0-5941-4936-B28F-BD0E0D530EE1}"/>
    <cellStyle name="Comma 16 2 6 2" xfId="967" xr:uid="{2CCB30B3-CB6A-4640-8387-E89627AE91E5}"/>
    <cellStyle name="Comma 16 2 7" xfId="682" xr:uid="{BC5696B9-076B-40AD-887F-D66E20BC2341}"/>
    <cellStyle name="Comma 16 3" xfId="179" xr:uid="{FAA1ACEF-C516-491E-B371-64D616E1B9C0}"/>
    <cellStyle name="Comma 16 3 2" xfId="241" xr:uid="{104784D2-5839-42E8-B22E-2979C9206517}"/>
    <cellStyle name="Comma 16 3 2 2" xfId="407" xr:uid="{29FD76F0-AE62-4740-9307-F9A3AD0D3DA5}"/>
    <cellStyle name="Comma 16 3 2 2 2" xfId="892" xr:uid="{7A19C6EF-5238-4795-A775-FB23D2C019A2}"/>
    <cellStyle name="Comma 16 3 2 3" xfId="588" xr:uid="{BC806747-A4B4-4465-A619-ABEB19E4DE6B}"/>
    <cellStyle name="Comma 16 3 2 3 2" xfId="1061" xr:uid="{73354C1D-C09A-42D7-BF51-24EC50398BCF}"/>
    <cellStyle name="Comma 16 3 2 4" xfId="751" xr:uid="{F466F51D-B412-4E53-8583-1C86620E5165}"/>
    <cellStyle name="Comma 16 3 3" xfId="303" xr:uid="{8D56BE46-6C6F-4E9B-BA8F-E6ED9DEF99BE}"/>
    <cellStyle name="Comma 16 3 3 2" xfId="807" xr:uid="{AA2BFF5A-A66B-4FCA-832B-520F5F13EAC7}"/>
    <cellStyle name="Comma 16 3 4" xfId="498" xr:uid="{33EF1ABD-26C5-4511-8232-DB32DE532DB4}"/>
    <cellStyle name="Comma 16 3 4 2" xfId="977" xr:uid="{F3A79011-88A3-4C90-A940-85088BD7721E}"/>
    <cellStyle name="Comma 16 3 5" xfId="693" xr:uid="{34DF4126-D5DA-4F92-909F-52F63FD09547}"/>
    <cellStyle name="Comma 16 4" xfId="212" xr:uid="{923FC342-BF82-43E2-8821-DD23C96F438B}"/>
    <cellStyle name="Comma 16 4 2" xfId="436" xr:uid="{1E977117-1A21-4FCB-ACC3-F8FBCDD6F6B6}"/>
    <cellStyle name="Comma 16 4 2 2" xfId="617" xr:uid="{7E6F1F93-811E-4AF4-AE45-DE76921D0980}"/>
    <cellStyle name="Comma 16 4 2 2 2" xfId="1088" xr:uid="{87B77B28-D4C9-4C82-8202-0AE19ED47A0F}"/>
    <cellStyle name="Comma 16 4 2 3" xfId="919" xr:uid="{3300E720-1AC0-4C0F-A965-25E363B0D019}"/>
    <cellStyle name="Comma 16 4 3" xfId="332" xr:uid="{147B2A4C-7859-443E-A130-BBD71C870840}"/>
    <cellStyle name="Comma 16 4 3 2" xfId="834" xr:uid="{4950B1C2-A7C5-4CDF-B0C8-1FD2A79E4F69}"/>
    <cellStyle name="Comma 16 4 4" xfId="527" xr:uid="{BA35E6DE-F8BB-4C5D-9D16-3FB145923535}"/>
    <cellStyle name="Comma 16 4 4 2" xfId="1004" xr:uid="{B804DBE2-B1F9-4CAE-BCC4-B6F6D9C97D55}"/>
    <cellStyle name="Comma 16 4 5" xfId="724" xr:uid="{03527ADC-21DE-4815-A651-528F49C955B5}"/>
    <cellStyle name="Comma 16 5" xfId="378" xr:uid="{8F520E63-54D5-4704-B71A-800025FF64A5}"/>
    <cellStyle name="Comma 16 5 2" xfId="559" xr:uid="{E1EB5F1E-88FB-4FCE-9AF0-F9E1ACEA2A76}"/>
    <cellStyle name="Comma 16 5 2 2" xfId="1034" xr:uid="{75040B33-794E-4B02-AF67-C87F7435A9EF}"/>
    <cellStyle name="Comma 16 5 3" xfId="864" xr:uid="{FF28B225-3BE2-4FA4-9CF1-843E5870C34B}"/>
    <cellStyle name="Comma 16 6" xfId="273" xr:uid="{3F2BAA74-390D-4BDC-8E8B-E6B5CBEE190B}"/>
    <cellStyle name="Comma 16 6 2" xfId="780" xr:uid="{28AE1D48-A70D-4EB6-897A-ABFC2741A344}"/>
    <cellStyle name="Comma 16 7" xfId="469" xr:uid="{1C679C39-95C9-4AD3-AF7C-EC1669E0659F}"/>
    <cellStyle name="Comma 16 7 2" xfId="950" xr:uid="{D61D4405-98EF-4A59-AC98-B2D0C918E4C3}"/>
    <cellStyle name="Comma 16 8" xfId="664" xr:uid="{96328DA2-61B4-4DE0-B1DE-0FD265E0C21E}"/>
    <cellStyle name="Comma 17" xfId="144" xr:uid="{86DC5308-B403-4B1B-918D-37395ABF71CB}"/>
    <cellStyle name="Comma 17 2" xfId="167" xr:uid="{B5281A31-3BF8-48A2-8B62-9E9B64FFF0FD}"/>
    <cellStyle name="Comma 17 2 2" xfId="196" xr:uid="{0D528A12-F13B-47F1-8BF3-71B6045DFA65}"/>
    <cellStyle name="Comma 17 2 2 2" xfId="258" xr:uid="{2CB9CC97-5F2D-40BB-82AE-0EEDEE373DCC}"/>
    <cellStyle name="Comma 17 2 2 2 2" xfId="424" xr:uid="{DE12F98B-F78B-425F-A0C4-410007271FFA}"/>
    <cellStyle name="Comma 17 2 2 2 2 2" xfId="908" xr:uid="{C9197ADC-516F-4A22-B41B-BE40F57C1E6F}"/>
    <cellStyle name="Comma 17 2 2 2 3" xfId="605" xr:uid="{48BFEBC3-9119-4376-A77E-CA12CAB05295}"/>
    <cellStyle name="Comma 17 2 2 2 3 2" xfId="1077" xr:uid="{56270F11-CDD4-4E0B-AE49-6ECE9E5E9CCC}"/>
    <cellStyle name="Comma 17 2 2 2 4" xfId="767" xr:uid="{FA2BE304-E107-4F43-9618-D12C892AE1DF}"/>
    <cellStyle name="Comma 17 2 2 3" xfId="320" xr:uid="{80AA4218-257D-4125-B89D-09EDE8CCD921}"/>
    <cellStyle name="Comma 17 2 2 3 2" xfId="823" xr:uid="{00260576-C304-426D-912E-7BE5096AEBCF}"/>
    <cellStyle name="Comma 17 2 2 4" xfId="515" xr:uid="{3A885E2B-3968-4636-9A47-172DE5ED4EE8}"/>
    <cellStyle name="Comma 17 2 2 4 2" xfId="993" xr:uid="{6AD44631-2498-424E-BA6B-24B337359257}"/>
    <cellStyle name="Comma 17 2 2 5" xfId="709" xr:uid="{F4435C18-5781-4C0C-BD9E-723490A4FFDA}"/>
    <cellStyle name="Comma 17 2 3" xfId="229" xr:uid="{FA14DA3F-C0C8-4C57-BCEF-DBD5AAD51D15}"/>
    <cellStyle name="Comma 17 2 3 2" xfId="453" xr:uid="{44A81540-B859-4CDD-AF7B-BDB3D98C622D}"/>
    <cellStyle name="Comma 17 2 3 2 2" xfId="634" xr:uid="{B0FCE532-10B2-4212-8D68-606199914E50}"/>
    <cellStyle name="Comma 17 2 3 2 2 2" xfId="1104" xr:uid="{D81B3099-7960-4B65-A0A3-0667FDE087B2}"/>
    <cellStyle name="Comma 17 2 3 2 3" xfId="935" xr:uid="{D9F0642B-425B-4AEF-8EAB-D933B9080339}"/>
    <cellStyle name="Comma 17 2 3 3" xfId="350" xr:uid="{CED6F8F1-C18C-451B-B0AF-A4D1C5D92CB4}"/>
    <cellStyle name="Comma 17 2 3 3 2" xfId="850" xr:uid="{3076ED1E-434B-495E-A2FD-63AB1CE749DC}"/>
    <cellStyle name="Comma 17 2 3 4" xfId="544" xr:uid="{F2EED82D-9CE6-4845-B452-2F7C8DB23F68}"/>
    <cellStyle name="Comma 17 2 3 4 2" xfId="1020" xr:uid="{08D80543-E0B2-45A1-A6B4-993BD89C1400}"/>
    <cellStyle name="Comma 17 2 3 5" xfId="740" xr:uid="{3354BFE0-8913-4E42-B53A-1D3A3B44D869}"/>
    <cellStyle name="Comma 17 2 4" xfId="395" xr:uid="{ED09B885-EA15-45FB-8D0D-78BFD8409788}"/>
    <cellStyle name="Comma 17 2 4 2" xfId="576" xr:uid="{099A4921-4A33-48CB-A09B-948AB62A9E1C}"/>
    <cellStyle name="Comma 17 2 4 2 2" xfId="1050" xr:uid="{BB2E0E7B-D520-4C17-9CCB-93967EC4FFCA}"/>
    <cellStyle name="Comma 17 2 4 3" xfId="881" xr:uid="{F8A0BB35-469C-4592-A413-2B0BC3A75FA2}"/>
    <cellStyle name="Comma 17 2 5" xfId="291" xr:uid="{FC4FA3E2-6061-4BAE-B139-C20792390AFD}"/>
    <cellStyle name="Comma 17 2 5 2" xfId="796" xr:uid="{7DF0E99D-43EF-4847-981A-1F6E322C3475}"/>
    <cellStyle name="Comma 17 2 6" xfId="486" xr:uid="{194FFA4F-498C-4680-A690-B48E7351F48F}"/>
    <cellStyle name="Comma 17 2 6 2" xfId="966" xr:uid="{07631523-7E30-475C-939E-4471437003C5}"/>
    <cellStyle name="Comma 17 2 7" xfId="681" xr:uid="{8A38F6EC-F71A-4114-9B75-9F40B7F0F635}"/>
    <cellStyle name="Comma 17 3" xfId="178" xr:uid="{E8E10E97-74A1-4ADD-95C3-5380CC3C7495}"/>
    <cellStyle name="Comma 17 3 2" xfId="240" xr:uid="{50E21B1C-1229-4B8D-BAA3-DD5B8B3E220C}"/>
    <cellStyle name="Comma 17 3 2 2" xfId="406" xr:uid="{71D9B84F-AD07-43D4-827A-684DE8C237AC}"/>
    <cellStyle name="Comma 17 3 2 2 2" xfId="891" xr:uid="{B4E9B334-3645-4099-930F-BB3E78C30E3E}"/>
    <cellStyle name="Comma 17 3 2 3" xfId="587" xr:uid="{82E8A695-7E16-4EFB-9144-C78EF7FB0529}"/>
    <cellStyle name="Comma 17 3 2 3 2" xfId="1060" xr:uid="{3588691D-6F21-49FA-AC7A-71B3D79C44BA}"/>
    <cellStyle name="Comma 17 3 2 4" xfId="750" xr:uid="{C6DB6DAF-1C61-4AFC-92FE-001884CFFB52}"/>
    <cellStyle name="Comma 17 3 3" xfId="302" xr:uid="{AB737E39-01A9-4FA0-A64A-8323DEFBBF94}"/>
    <cellStyle name="Comma 17 3 3 2" xfId="806" xr:uid="{0A1EBA70-6874-437D-9163-ED928F70CBAB}"/>
    <cellStyle name="Comma 17 3 4" xfId="497" xr:uid="{2FCBCDE0-D0CA-4543-90EC-A4C7BED49A14}"/>
    <cellStyle name="Comma 17 3 4 2" xfId="976" xr:uid="{0773021D-1B6B-4029-8C68-E7232795743C}"/>
    <cellStyle name="Comma 17 3 5" xfId="692" xr:uid="{74AC3878-3AE8-4A32-920A-8CC5E05AB238}"/>
    <cellStyle name="Comma 17 4" xfId="211" xr:uid="{AC2C06FA-97F0-4F75-BA4B-B65A12500A25}"/>
    <cellStyle name="Comma 17 4 2" xfId="435" xr:uid="{7C2C04AD-5438-4F73-9F36-BA9CF7AF851A}"/>
    <cellStyle name="Comma 17 4 2 2" xfId="616" xr:uid="{BBDAA0E3-20A1-4967-8C4E-67A6801299D7}"/>
    <cellStyle name="Comma 17 4 2 2 2" xfId="1087" xr:uid="{907DA3FE-A431-42B3-88D9-7437AAD07967}"/>
    <cellStyle name="Comma 17 4 2 3" xfId="918" xr:uid="{CA114D4A-4133-4C62-BCA1-0A7BCE1C3619}"/>
    <cellStyle name="Comma 17 4 3" xfId="331" xr:uid="{F97F3851-683F-4381-9ADA-8328F90B096C}"/>
    <cellStyle name="Comma 17 4 3 2" xfId="833" xr:uid="{936CF971-F80D-42E7-B4E3-225B2C578A3F}"/>
    <cellStyle name="Comma 17 4 4" xfId="526" xr:uid="{E15A95FE-7BFC-4653-9836-5911905D2E3A}"/>
    <cellStyle name="Comma 17 4 4 2" xfId="1003" xr:uid="{B572C645-F05C-4A60-A0FB-4BCD50B3F3B1}"/>
    <cellStyle name="Comma 17 4 5" xfId="723" xr:uid="{8B4A0F62-D6A4-4633-AC32-6BFB9E87DA18}"/>
    <cellStyle name="Comma 17 5" xfId="377" xr:uid="{1752CFCF-5E20-47AC-AC4D-786D0327C156}"/>
    <cellStyle name="Comma 17 5 2" xfId="558" xr:uid="{AB6AA37A-1E4E-4753-B435-FB0A66E69A88}"/>
    <cellStyle name="Comma 17 5 2 2" xfId="1033" xr:uid="{33A4EF4D-E35B-4953-A0BD-21437DEF962E}"/>
    <cellStyle name="Comma 17 5 3" xfId="863" xr:uid="{1AAE8E1D-D825-4463-847D-419203EA5ECC}"/>
    <cellStyle name="Comma 17 6" xfId="272" xr:uid="{030BB92C-87E9-4E8A-B4A5-450A730CE3F4}"/>
    <cellStyle name="Comma 17 6 2" xfId="779" xr:uid="{614F3370-E6B4-472B-A7AD-743CA93CCD6D}"/>
    <cellStyle name="Comma 17 7" xfId="468" xr:uid="{30358A0A-FB16-42C1-8D58-11F022FDE84F}"/>
    <cellStyle name="Comma 17 7 2" xfId="949" xr:uid="{FB5D486C-C09D-4F99-8DDD-893CBC1FBD13}"/>
    <cellStyle name="Comma 17 8" xfId="663" xr:uid="{03E1132E-F71B-4EA1-861B-8F9E58538EAF}"/>
    <cellStyle name="Comma 18" xfId="147" xr:uid="{F5B23D8D-2024-4D43-833B-56E59A0D9C0A}"/>
    <cellStyle name="Comma 18 2" xfId="135" xr:uid="{EA2F66EC-B69A-45B9-8534-E5928CC7F9C1}"/>
    <cellStyle name="Comma 18 2 2" xfId="163" xr:uid="{7017492A-B6BB-4DDA-9E89-DD92ABB51D25}"/>
    <cellStyle name="Comma 18 2 2 2" xfId="192" xr:uid="{92861C92-9F1F-4E8A-8C03-0774F246693C}"/>
    <cellStyle name="Comma 18 2 2 2 2" xfId="254" xr:uid="{B06EBD89-2E21-490D-971A-28843B395639}"/>
    <cellStyle name="Comma 18 2 2 2 2 2" xfId="420" xr:uid="{DDCECB68-71D6-4BFD-8276-74F5FF7B058C}"/>
    <cellStyle name="Comma 18 2 2 2 2 2 2" xfId="904" xr:uid="{59B9D59E-1EC1-46AA-AD43-0326A6E91A1A}"/>
    <cellStyle name="Comma 18 2 2 2 2 3" xfId="601" xr:uid="{F7A9D195-7F6F-4707-967C-669214A2B2FD}"/>
    <cellStyle name="Comma 18 2 2 2 2 3 2" xfId="1073" xr:uid="{880F55B8-E0B6-4101-818E-BFF10CFF6B37}"/>
    <cellStyle name="Comma 18 2 2 2 2 4" xfId="763" xr:uid="{9A3F50CD-CA00-40BF-AAA4-FB415A161C54}"/>
    <cellStyle name="Comma 18 2 2 2 3" xfId="316" xr:uid="{409D551D-2DB9-4629-A21A-19E26EA69F26}"/>
    <cellStyle name="Comma 18 2 2 2 3 2" xfId="819" xr:uid="{BF5D0868-8414-4DFE-A5FD-E93DF16E40B0}"/>
    <cellStyle name="Comma 18 2 2 2 4" xfId="511" xr:uid="{DDCBE2E4-47E5-40DF-8A93-6413A1913194}"/>
    <cellStyle name="Comma 18 2 2 2 4 2" xfId="989" xr:uid="{3D571E95-9EDD-4C6D-978E-9449B9D94879}"/>
    <cellStyle name="Comma 18 2 2 2 5" xfId="705" xr:uid="{BFC45BE3-0DBE-43D5-A333-322EBD87A721}"/>
    <cellStyle name="Comma 18 2 2 3" xfId="225" xr:uid="{096E87B1-328F-49BE-8302-BCE90B83E9A6}"/>
    <cellStyle name="Comma 18 2 2 3 2" xfId="449" xr:uid="{A74CF0DA-7BE0-4B11-BF6E-AD17BEA48C46}"/>
    <cellStyle name="Comma 18 2 2 3 2 2" xfId="630" xr:uid="{D9EC90B1-9F38-4501-8A6C-DDA0FC44FC7E}"/>
    <cellStyle name="Comma 18 2 2 3 2 2 2" xfId="1100" xr:uid="{93754E5F-5B86-4BA5-B5E4-82E894419819}"/>
    <cellStyle name="Comma 18 2 2 3 2 3" xfId="931" xr:uid="{5CD8F6C5-F105-46C0-9C7A-DEE8E630C634}"/>
    <cellStyle name="Comma 18 2 2 3 3" xfId="346" xr:uid="{9F3BB09B-F59D-45AF-80F7-42FB6B105A0E}"/>
    <cellStyle name="Comma 18 2 2 3 3 2" xfId="846" xr:uid="{8AB95931-983D-422E-9558-3E6347AE040F}"/>
    <cellStyle name="Comma 18 2 2 3 4" xfId="540" xr:uid="{499C1ABA-6185-4E88-9686-CE5910CA6A56}"/>
    <cellStyle name="Comma 18 2 2 3 4 2" xfId="1016" xr:uid="{6A19AC6C-4838-4B4A-9C42-EF100941884B}"/>
    <cellStyle name="Comma 18 2 2 3 5" xfId="736" xr:uid="{529DB5FF-A8D4-4C01-9472-A3E7841ECBC6}"/>
    <cellStyle name="Comma 18 2 2 4" xfId="391" xr:uid="{DD3F4987-6601-4045-8CF7-9C0805899709}"/>
    <cellStyle name="Comma 18 2 2 4 2" xfId="572" xr:uid="{657B3567-9070-47CA-8B8B-85653BA8DC89}"/>
    <cellStyle name="Comma 18 2 2 4 2 2" xfId="1046" xr:uid="{4061BAE2-C734-4259-9351-4491891ED69F}"/>
    <cellStyle name="Comma 18 2 2 4 3" xfId="877" xr:uid="{4E936775-3FA4-4C22-A60A-7E7D1357CF79}"/>
    <cellStyle name="Comma 18 2 2 5" xfId="287" xr:uid="{5E9B73C3-FEEE-4ED2-AA9D-CD3D007B5ED5}"/>
    <cellStyle name="Comma 18 2 2 5 2" xfId="792" xr:uid="{476C0F9D-2FF5-4680-BE6F-660E61337526}"/>
    <cellStyle name="Comma 18 2 2 6" xfId="482" xr:uid="{FBBBFDD2-A696-4B8C-8083-4B39EEEEFD20}"/>
    <cellStyle name="Comma 18 2 2 6 2" xfId="962" xr:uid="{75E377A3-BE7A-4C67-AE56-223173A71CC1}"/>
    <cellStyle name="Comma 18 2 2 7" xfId="677" xr:uid="{5138516A-7DF5-42D5-8CF5-6128DB0CE4CD}"/>
    <cellStyle name="Comma 18 2 3" xfId="174" xr:uid="{765D86E9-FC9D-4CC2-B2DA-CB1B0555F61F}"/>
    <cellStyle name="Comma 18 2 3 2" xfId="236" xr:uid="{0396F437-A50C-4B60-BB3A-86C96C205A09}"/>
    <cellStyle name="Comma 18 2 3 2 2" xfId="402" xr:uid="{F73B89A8-18B6-4A49-86F6-1FC38CB8F05F}"/>
    <cellStyle name="Comma 18 2 3 2 2 2" xfId="887" xr:uid="{2127074B-E47C-428A-897F-EB7CBA851161}"/>
    <cellStyle name="Comma 18 2 3 2 3" xfId="583" xr:uid="{05EC7A73-7A6E-468E-BEB5-1C58B9050DE5}"/>
    <cellStyle name="Comma 18 2 3 2 3 2" xfId="1056" xr:uid="{A3FAD027-710E-4232-BFED-8EC78A1EC2C7}"/>
    <cellStyle name="Comma 18 2 3 2 4" xfId="746" xr:uid="{14C45C7B-AF3E-468E-B8DB-49D932F9C64E}"/>
    <cellStyle name="Comma 18 2 3 3" xfId="298" xr:uid="{1EB178FF-78FD-4924-B76A-2C9DB578058C}"/>
    <cellStyle name="Comma 18 2 3 3 2" xfId="802" xr:uid="{BC8E4512-2F48-43FF-9C08-E5E41996A739}"/>
    <cellStyle name="Comma 18 2 3 4" xfId="493" xr:uid="{97494A44-056A-48C1-A096-F15C7C7C979B}"/>
    <cellStyle name="Comma 18 2 3 4 2" xfId="972" xr:uid="{A9B5C8E3-032E-4BD8-8C44-029D0F551266}"/>
    <cellStyle name="Comma 18 2 3 5" xfId="688" xr:uid="{A81F0028-37E0-4130-9302-C237016F8435}"/>
    <cellStyle name="Comma 18 2 4" xfId="207" xr:uid="{9B96725C-1C9A-4DD6-AA0F-EF3704F54E31}"/>
    <cellStyle name="Comma 18 2 4 2" xfId="431" xr:uid="{84BAD0DC-9A87-4966-B5C1-8A2CB8915A7D}"/>
    <cellStyle name="Comma 18 2 4 2 2" xfId="612" xr:uid="{CBE52020-F324-4B83-8BC8-F945B522864B}"/>
    <cellStyle name="Comma 18 2 4 2 2 2" xfId="1083" xr:uid="{2E09A9E4-EA03-4598-921B-D80457AA28A7}"/>
    <cellStyle name="Comma 18 2 4 2 3" xfId="914" xr:uid="{4EB8480E-B85D-4EA9-895B-0262B737AF6E}"/>
    <cellStyle name="Comma 18 2 4 3" xfId="327" xr:uid="{E0C87376-C865-4005-9CB6-3C4469CB755C}"/>
    <cellStyle name="Comma 18 2 4 3 2" xfId="829" xr:uid="{64A80672-3817-46CF-8BAA-17ED7F69F895}"/>
    <cellStyle name="Comma 18 2 4 4" xfId="522" xr:uid="{345EE83F-CB1A-49AE-9828-18138B0B5A60}"/>
    <cellStyle name="Comma 18 2 4 4 2" xfId="999" xr:uid="{47D2B639-BB61-490E-AE87-43E72E2BD90F}"/>
    <cellStyle name="Comma 18 2 4 5" xfId="719" xr:uid="{E75A74BF-5D2C-4342-BD21-A2107A25E01A}"/>
    <cellStyle name="Comma 18 2 5" xfId="373" xr:uid="{DFC85633-FDB9-4DA3-88FC-7C0341DB2D84}"/>
    <cellStyle name="Comma 18 2 5 2" xfId="554" xr:uid="{2C20B215-8DFD-4822-A927-C65552CF73CD}"/>
    <cellStyle name="Comma 18 2 5 2 2" xfId="1029" xr:uid="{21677665-CF9B-49AC-98E6-DC0753DD1FEF}"/>
    <cellStyle name="Comma 18 2 5 3" xfId="859" xr:uid="{8F788B9D-AF1B-4E98-A569-A308B76F9FF1}"/>
    <cellStyle name="Comma 18 2 6" xfId="268" xr:uid="{63A2E5D6-C669-480D-ACDB-9B0FCBD9A000}"/>
    <cellStyle name="Comma 18 2 6 2" xfId="775" xr:uid="{937836D5-01FD-4DBC-A61B-DAFBE4F2FEB5}"/>
    <cellStyle name="Comma 18 2 7" xfId="464" xr:uid="{6434E527-7AB0-4BD6-BD30-DF24B4144056}"/>
    <cellStyle name="Comma 18 2 7 2" xfId="945" xr:uid="{34525F8D-C484-47FA-8276-7EEE1925B560}"/>
    <cellStyle name="Comma 18 2 8" xfId="659" xr:uid="{E03317EC-62E0-49EA-8C62-9132056F3F7B}"/>
    <cellStyle name="Comma 18 3" xfId="169" xr:uid="{90746D00-9BD3-4C86-B1D8-9AED471B115D}"/>
    <cellStyle name="Comma 18 3 2" xfId="198" xr:uid="{A45894A4-A9BF-409A-B03F-5506EF025839}"/>
    <cellStyle name="Comma 18 3 2 2" xfId="260" xr:uid="{E60230EC-F8B8-43BC-B9E2-EEA2DD32C028}"/>
    <cellStyle name="Comma 18 3 2 2 2" xfId="426" xr:uid="{12B087E4-7330-41CD-8AF8-73FB2A33F20D}"/>
    <cellStyle name="Comma 18 3 2 2 2 2" xfId="910" xr:uid="{DF215F1D-64F7-4D82-B33C-6F6F8A406CD0}"/>
    <cellStyle name="Comma 18 3 2 2 3" xfId="607" xr:uid="{EC1D5544-759E-450A-AF23-49637DAD0531}"/>
    <cellStyle name="Comma 18 3 2 2 3 2" xfId="1079" xr:uid="{D66C140B-33E5-418B-8A64-4AF45A7873AC}"/>
    <cellStyle name="Comma 18 3 2 2 4" xfId="769" xr:uid="{8D91220B-718A-4CB4-BFF4-0FF3AA64D01B}"/>
    <cellStyle name="Comma 18 3 2 3" xfId="322" xr:uid="{081249C5-62B6-4D21-8D3B-4FBE5A021DF3}"/>
    <cellStyle name="Comma 18 3 2 3 2" xfId="825" xr:uid="{BA10C1A9-6B96-4290-9C7A-0A8BCF10D601}"/>
    <cellStyle name="Comma 18 3 2 4" xfId="517" xr:uid="{733CBDE3-F571-4239-A4F1-5506A53B74FC}"/>
    <cellStyle name="Comma 18 3 2 4 2" xfId="995" xr:uid="{9E9E39BE-8AEC-4ED4-BDF4-23A103CA7AA2}"/>
    <cellStyle name="Comma 18 3 2 5" xfId="711" xr:uid="{2D8294E1-5232-4578-801F-3816027145E5}"/>
    <cellStyle name="Comma 18 3 3" xfId="231" xr:uid="{7DCA4D00-09B2-4F99-985B-0D0F6C73A48A}"/>
    <cellStyle name="Comma 18 3 3 2" xfId="455" xr:uid="{9A2C3BC9-56E3-432F-B1A7-161EF52C2E9D}"/>
    <cellStyle name="Comma 18 3 3 2 2" xfId="636" xr:uid="{52914430-EDE3-4CFD-8362-133AF8BEA886}"/>
    <cellStyle name="Comma 18 3 3 2 2 2" xfId="1106" xr:uid="{AC557470-41CC-4509-BC65-2A2B0E6A3918}"/>
    <cellStyle name="Comma 18 3 3 2 3" xfId="937" xr:uid="{DFB82F1A-0410-4CD2-999D-42278110936E}"/>
    <cellStyle name="Comma 18 3 3 3" xfId="352" xr:uid="{9BF6120A-76C2-41F4-AC5C-3CDBF8DAF4A7}"/>
    <cellStyle name="Comma 18 3 3 3 2" xfId="852" xr:uid="{ED063E24-23CA-44DC-86F3-C80B79CEDB2A}"/>
    <cellStyle name="Comma 18 3 3 4" xfId="546" xr:uid="{CC2D7ADA-7AD1-4B07-8D66-D415E446F698}"/>
    <cellStyle name="Comma 18 3 3 4 2" xfId="1022" xr:uid="{5BAD40A1-B245-496C-994E-1E9F0547E9A0}"/>
    <cellStyle name="Comma 18 3 3 5" xfId="742" xr:uid="{7DAE531B-7A34-4C05-A623-0DE94DDD07E6}"/>
    <cellStyle name="Comma 18 3 4" xfId="397" xr:uid="{529CE043-F84B-40E0-BD4C-39C980C14E7D}"/>
    <cellStyle name="Comma 18 3 4 2" xfId="578" xr:uid="{9BFFE0A9-1339-477C-9532-D879B5C5CB50}"/>
    <cellStyle name="Comma 18 3 4 2 2" xfId="1052" xr:uid="{A5A4B225-4F5D-44B3-A89A-24EED72F915F}"/>
    <cellStyle name="Comma 18 3 4 3" xfId="883" xr:uid="{7E6D153F-DAF8-4204-999A-FF10EFC1264E}"/>
    <cellStyle name="Comma 18 3 5" xfId="293" xr:uid="{0AE5597C-D975-4519-BF95-FA4533158D40}"/>
    <cellStyle name="Comma 18 3 5 2" xfId="798" xr:uid="{DDC82EB3-A232-4A2D-975B-519CBEFD3338}"/>
    <cellStyle name="Comma 18 3 6" xfId="488" xr:uid="{AB9730B1-B5F4-4048-8A52-DC18D8A10738}"/>
    <cellStyle name="Comma 18 3 6 2" xfId="968" xr:uid="{0A9AEE3F-CD16-4E83-B320-8C60CC0C58A8}"/>
    <cellStyle name="Comma 18 3 7" xfId="683" xr:uid="{5498B9E0-4301-4672-BEA1-A6191BF90F84}"/>
    <cellStyle name="Comma 18 4" xfId="180" xr:uid="{DB8FDB99-A964-4505-965C-767F3F0B341E}"/>
    <cellStyle name="Comma 18 4 2" xfId="242" xr:uid="{41351398-64B1-4E3A-A2FD-9E913962717E}"/>
    <cellStyle name="Comma 18 4 2 2" xfId="408" xr:uid="{35841234-3A46-4673-85C7-8D4F153EEB36}"/>
    <cellStyle name="Comma 18 4 2 2 2" xfId="893" xr:uid="{DD328BBE-0BDC-4925-A543-0EB3B397D0FD}"/>
    <cellStyle name="Comma 18 4 2 3" xfId="589" xr:uid="{895C7423-BDAE-4C0C-9572-B09D8D9840DC}"/>
    <cellStyle name="Comma 18 4 2 3 2" xfId="1062" xr:uid="{803EEB64-89D4-4EE6-A667-014D8C970BAD}"/>
    <cellStyle name="Comma 18 4 2 4" xfId="752" xr:uid="{5202C01B-4A79-4DEE-956C-FC03BB7F1DDD}"/>
    <cellStyle name="Comma 18 4 3" xfId="304" xr:uid="{38D2B47C-3F0B-42F2-8D50-8B0499E02E70}"/>
    <cellStyle name="Comma 18 4 3 2" xfId="808" xr:uid="{C6A96786-0DCD-487E-9827-F740CE478FEE}"/>
    <cellStyle name="Comma 18 4 4" xfId="499" xr:uid="{EC6265D9-EAC5-45F1-968C-3520238A3FF4}"/>
    <cellStyle name="Comma 18 4 4 2" xfId="978" xr:uid="{EBB22655-1B16-44F5-84DB-4F0853A4570B}"/>
    <cellStyle name="Comma 18 4 5" xfId="694" xr:uid="{6F97B675-AE1A-40B4-A1F3-17D746BDC280}"/>
    <cellStyle name="Comma 18 5" xfId="213" xr:uid="{B0D2DD64-116E-4A2B-A563-5BEFB93D64AF}"/>
    <cellStyle name="Comma 18 5 2" xfId="437" xr:uid="{7764726F-47CC-42C1-BA6C-AF62226E4BD8}"/>
    <cellStyle name="Comma 18 5 2 2" xfId="618" xr:uid="{ED1FCDCF-D253-4619-9348-D3C43E36C38C}"/>
    <cellStyle name="Comma 18 5 2 2 2" xfId="1089" xr:uid="{A4895E95-16BA-4379-8F20-2A14761A9B57}"/>
    <cellStyle name="Comma 18 5 2 3" xfId="920" xr:uid="{B6A1978F-DC8D-4856-912C-622AE5BFEA3F}"/>
    <cellStyle name="Comma 18 5 3" xfId="333" xr:uid="{766768ED-2F79-49F4-AE77-DD6B28DA9268}"/>
    <cellStyle name="Comma 18 5 3 2" xfId="835" xr:uid="{FA3393DA-6A84-48FF-91A8-B2FB8663F330}"/>
    <cellStyle name="Comma 18 5 4" xfId="528" xr:uid="{42A7335E-3F1F-4C78-87D2-CDDEABB7B5FB}"/>
    <cellStyle name="Comma 18 5 4 2" xfId="1005" xr:uid="{42380669-0B9A-4970-ADCC-2806E000079C}"/>
    <cellStyle name="Comma 18 5 5" xfId="725" xr:uid="{CFF5E004-1BD1-4519-AD22-72E539AE11A4}"/>
    <cellStyle name="Comma 18 6" xfId="379" xr:uid="{146E6250-0D9D-4C95-A950-1725DC95F418}"/>
    <cellStyle name="Comma 18 6 2" xfId="560" xr:uid="{35A7F217-9621-44CD-9E2A-37E343FE9412}"/>
    <cellStyle name="Comma 18 6 2 2" xfId="1035" xr:uid="{B2E7CBEF-B811-4787-BED3-6A3628405B4F}"/>
    <cellStyle name="Comma 18 6 3" xfId="865" xr:uid="{ED065F6A-A422-4C6F-9DC5-59EF473AE5AC}"/>
    <cellStyle name="Comma 18 7" xfId="275" xr:uid="{A2607C39-4177-4A0F-993E-05391E846359}"/>
    <cellStyle name="Comma 18 7 2" xfId="781" xr:uid="{ED3D059F-6D01-4034-BA41-A787E134E4CA}"/>
    <cellStyle name="Comma 18 8" xfId="470" xr:uid="{084F3B83-F4F8-4D50-94A7-2DF8459AB2AE}"/>
    <cellStyle name="Comma 18 8 2" xfId="951" xr:uid="{DAB29234-D35F-41E3-8201-88653A956F0D}"/>
    <cellStyle name="Comma 18 9" xfId="665" xr:uid="{C97D0CC8-84F1-4E09-AF35-495DF943F197}"/>
    <cellStyle name="Comma 19" xfId="355" xr:uid="{258B479A-A684-460F-A483-8938CFFA3B5A}"/>
    <cellStyle name="Comma 19 2" xfId="457" xr:uid="{25584AD1-10B7-42D9-8DE6-D78CE4C3070D}"/>
    <cellStyle name="Comma 19 2 2" xfId="638" xr:uid="{3C499FA0-2598-4A6A-BE7B-E72D074D9BD2}"/>
    <cellStyle name="Comma 19 2 2 2" xfId="1108" xr:uid="{B30A0306-BE24-4CBC-94DF-848A09968BDD}"/>
    <cellStyle name="Comma 19 2 3" xfId="939" xr:uid="{CE23DC54-F172-4C46-B4AA-2B5A9FA7E580}"/>
    <cellStyle name="Comma 19 3" xfId="548" xr:uid="{C11B136A-4190-4C32-9442-4B233623CF68}"/>
    <cellStyle name="Comma 19 3 2" xfId="1024" xr:uid="{698C3460-9AC5-4B6C-AC40-9AFD74612970}"/>
    <cellStyle name="Comma 19 4" xfId="854" xr:uid="{E4F29110-E036-44C9-8072-E2EBDC5651E2}"/>
    <cellStyle name="Comma 2" xfId="47" xr:uid="{3F97D784-4066-4130-8695-FFA6D35DD553}"/>
    <cellStyle name="Comma 2 2 2 2" xfId="134" xr:uid="{49B51155-C483-443B-AD11-3A653C37FDF7}"/>
    <cellStyle name="Comma 2 2 2 2 2" xfId="162" xr:uid="{8AB63A77-3E4B-4536-9B64-481AEFD84F62}"/>
    <cellStyle name="Comma 2 2 2 2 2 2" xfId="191" xr:uid="{4B4B3F12-2131-47A3-A64B-64F7FB62B76C}"/>
    <cellStyle name="Comma 2 2 2 2 2 2 2" xfId="253" xr:uid="{9565A390-BF33-480B-B507-ECBAF3ACC854}"/>
    <cellStyle name="Comma 2 2 2 2 2 2 2 2" xfId="419" xr:uid="{5BBF6BF1-F459-441C-93BE-4D2FF201D98F}"/>
    <cellStyle name="Comma 2 2 2 2 2 2 2 2 2" xfId="903" xr:uid="{26B60E3C-93D4-47DA-A531-6ABD000D2B86}"/>
    <cellStyle name="Comma 2 2 2 2 2 2 2 3" xfId="600" xr:uid="{39DCD3AB-2729-4DA7-BB30-3A046B30C0D7}"/>
    <cellStyle name="Comma 2 2 2 2 2 2 2 3 2" xfId="1072" xr:uid="{2E721802-552A-49C8-84B5-FB6B60436CC7}"/>
    <cellStyle name="Comma 2 2 2 2 2 2 2 4" xfId="762" xr:uid="{4CF64E97-81B1-457E-A393-D8597E960531}"/>
    <cellStyle name="Comma 2 2 2 2 2 2 3" xfId="315" xr:uid="{26C4C6E3-FDDD-444E-BF52-9B27F92F7B40}"/>
    <cellStyle name="Comma 2 2 2 2 2 2 3 2" xfId="818" xr:uid="{4404D258-5089-448D-8F76-C93DC1A04C63}"/>
    <cellStyle name="Comma 2 2 2 2 2 2 4" xfId="510" xr:uid="{522526D5-2F95-4630-AB1D-D18414FCFE2F}"/>
    <cellStyle name="Comma 2 2 2 2 2 2 4 2" xfId="988" xr:uid="{200CB727-5739-481F-B9BE-79CA33E5004B}"/>
    <cellStyle name="Comma 2 2 2 2 2 2 5" xfId="704" xr:uid="{BB1A4242-5637-4E52-B08D-A7382DE0DF83}"/>
    <cellStyle name="Comma 2 2 2 2 2 3" xfId="224" xr:uid="{0D0BA4CC-3E3D-43A0-BE3E-34CC7ADBBCC7}"/>
    <cellStyle name="Comma 2 2 2 2 2 3 2" xfId="448" xr:uid="{8A3F8CBE-11AC-482B-9E3D-731047E3CC2F}"/>
    <cellStyle name="Comma 2 2 2 2 2 3 2 2" xfId="629" xr:uid="{E182CD5F-FD0B-488C-A0F0-DC3DD0E8DF4D}"/>
    <cellStyle name="Comma 2 2 2 2 2 3 2 2 2" xfId="1099" xr:uid="{679AD7FE-394A-462C-9274-19BCD54895E9}"/>
    <cellStyle name="Comma 2 2 2 2 2 3 2 3" xfId="930" xr:uid="{517763C3-3595-46A1-8585-19A5A5BA2736}"/>
    <cellStyle name="Comma 2 2 2 2 2 3 3" xfId="345" xr:uid="{E359AC4F-1AB2-4323-9AFF-203234690154}"/>
    <cellStyle name="Comma 2 2 2 2 2 3 3 2" xfId="845" xr:uid="{D6AEEF64-AE93-4600-A1B2-FB7C929270B6}"/>
    <cellStyle name="Comma 2 2 2 2 2 3 4" xfId="539" xr:uid="{5F82EC79-F397-47A3-B269-4BF0AD27D224}"/>
    <cellStyle name="Comma 2 2 2 2 2 3 4 2" xfId="1015" xr:uid="{20C5BF93-7E9C-40AF-88FD-8FE44686AAE3}"/>
    <cellStyle name="Comma 2 2 2 2 2 3 5" xfId="735" xr:uid="{492777A1-C9CE-42C9-8698-7586F0B4F55D}"/>
    <cellStyle name="Comma 2 2 2 2 2 4" xfId="390" xr:uid="{9A27A4B8-0B5B-42CF-83BA-0D64E693E0DC}"/>
    <cellStyle name="Comma 2 2 2 2 2 4 2" xfId="571" xr:uid="{C57A1645-11A0-4082-A663-63636D2F0E6C}"/>
    <cellStyle name="Comma 2 2 2 2 2 4 2 2" xfId="1045" xr:uid="{A52E82A5-E420-4E78-9977-92A62966758E}"/>
    <cellStyle name="Comma 2 2 2 2 2 4 3" xfId="876" xr:uid="{75291D00-9086-42DD-B451-524DD5111BD7}"/>
    <cellStyle name="Comma 2 2 2 2 2 5" xfId="286" xr:uid="{C384C7C2-5159-4A95-A8EF-30629712DB9F}"/>
    <cellStyle name="Comma 2 2 2 2 2 5 2" xfId="791" xr:uid="{587D747E-742E-4202-B0C1-C0E84D0C1A4C}"/>
    <cellStyle name="Comma 2 2 2 2 2 6" xfId="481" xr:uid="{F6FD9E09-17B3-451E-9646-5A2D207DBAF6}"/>
    <cellStyle name="Comma 2 2 2 2 2 6 2" xfId="961" xr:uid="{CC452093-C028-485D-A7B4-F121F1C19F7F}"/>
    <cellStyle name="Comma 2 2 2 2 2 7" xfId="676" xr:uid="{F754D13D-3001-4DA9-9EC9-C80A8262EED3}"/>
    <cellStyle name="Comma 2 2 2 2 3" xfId="658" xr:uid="{A1E22EB4-3D67-4C89-AA4F-DC64D7D8D440}"/>
    <cellStyle name="Comma 3" xfId="53" xr:uid="{80D805FA-1509-434E-BD0F-8A554C3383EF}"/>
    <cellStyle name="Comma 4" xfId="62" xr:uid="{02F5519F-B7A9-45A5-A4BF-4BC2971DB227}"/>
    <cellStyle name="Comma 5" xfId="63" xr:uid="{975D0073-BC53-438C-83E9-7BDE80D9AA31}"/>
    <cellStyle name="Comma 6" xfId="64" xr:uid="{BB15AEA6-6D7C-484E-99EE-4216BD4B2D1E}"/>
    <cellStyle name="Comma 7" xfId="65" xr:uid="{48B2CCC9-C2C0-4E84-B34E-2A7935CC151D}"/>
    <cellStyle name="Comma 8" xfId="125" xr:uid="{DA9310DD-3D62-452C-BCE7-AB7D4446CA94}"/>
    <cellStyle name="Comma 8 2" xfId="154" xr:uid="{22EEA175-4FC6-4BC2-9FB4-5BD0A763C22A}"/>
    <cellStyle name="Comma 8 2 2" xfId="183" xr:uid="{AD69A156-372B-4F7C-9C23-32C747F9D41D}"/>
    <cellStyle name="Comma 8 2 2 2" xfId="245" xr:uid="{D3C49811-E685-4291-83FD-65861B67DBC8}"/>
    <cellStyle name="Comma 8 2 2 2 2" xfId="411" xr:uid="{A674B3CC-D92F-49F5-9BF0-E301A2CEA04E}"/>
    <cellStyle name="Comma 8 2 2 2 2 2" xfId="895" xr:uid="{E200D311-D8BA-4C53-8BAA-A6FDBE319C4D}"/>
    <cellStyle name="Comma 8 2 2 2 3" xfId="592" xr:uid="{8EF3BD1C-211C-469C-A13D-C5CFD39AAF8E}"/>
    <cellStyle name="Comma 8 2 2 2 3 2" xfId="1064" xr:uid="{D03B3D18-E136-4399-90B3-547BD6D9E496}"/>
    <cellStyle name="Comma 8 2 2 2 4" xfId="754" xr:uid="{634306D8-A766-4FB9-8F1C-0BF3D322C8D2}"/>
    <cellStyle name="Comma 8 2 2 3" xfId="307" xr:uid="{6EA0777A-6513-4047-9E99-55A701604314}"/>
    <cellStyle name="Comma 8 2 2 3 2" xfId="810" xr:uid="{FF69C8D7-7D1D-4726-A175-7FF32C1F4E0B}"/>
    <cellStyle name="Comma 8 2 2 4" xfId="502" xr:uid="{55702542-7BDB-49D8-93F9-94256F619F14}"/>
    <cellStyle name="Comma 8 2 2 4 2" xfId="980" xr:uid="{B4D7136B-C4BE-4BA7-8566-84DAF4AF2955}"/>
    <cellStyle name="Comma 8 2 2 5" xfId="696" xr:uid="{88E39217-6AB8-4943-AA72-5A83FFA9E2B2}"/>
    <cellStyle name="Comma 8 2 3" xfId="216" xr:uid="{B3215202-7A34-47AB-8DAE-281138C52137}"/>
    <cellStyle name="Comma 8 2 3 2" xfId="440" xr:uid="{FF295D13-B84E-48F4-B0A2-038B75EFC62E}"/>
    <cellStyle name="Comma 8 2 3 2 2" xfId="621" xr:uid="{B915D6D6-91E5-4801-B3FA-28DD7F0E9223}"/>
    <cellStyle name="Comma 8 2 3 2 2 2" xfId="1091" xr:uid="{2DE860BF-D8BA-486C-8405-468104DF578F}"/>
    <cellStyle name="Comma 8 2 3 2 3" xfId="922" xr:uid="{DDC8D77A-FF05-43CD-B06F-45CC8CE2E7DE}"/>
    <cellStyle name="Comma 8 2 3 3" xfId="337" xr:uid="{F3BAA2DD-4545-41D3-9847-006544E8496F}"/>
    <cellStyle name="Comma 8 2 3 3 2" xfId="837" xr:uid="{161EBF4E-D200-493A-AC6A-31666E8F5A03}"/>
    <cellStyle name="Comma 8 2 3 4" xfId="531" xr:uid="{7AE08700-EC1D-474D-A57D-21D09610C30E}"/>
    <cellStyle name="Comma 8 2 3 4 2" xfId="1007" xr:uid="{B9ED105F-0149-47EF-81B7-FA2B53556605}"/>
    <cellStyle name="Comma 8 2 3 5" xfId="727" xr:uid="{424A6CCD-75C3-40D6-A86B-02BA3E6B2AD2}"/>
    <cellStyle name="Comma 8 2 4" xfId="382" xr:uid="{18DFCFE3-5EE8-4F14-A80B-355D97A89180}"/>
    <cellStyle name="Comma 8 2 4 2" xfId="563" xr:uid="{FDB40003-5D75-4603-BD80-F9105ADBDA5B}"/>
    <cellStyle name="Comma 8 2 4 2 2" xfId="1037" xr:uid="{848D795E-D514-451A-9B5F-C2D4BFFC43FE}"/>
    <cellStyle name="Comma 8 2 4 3" xfId="868" xr:uid="{DBC57E6F-4B47-48AD-A4F9-C0678764CB2A}"/>
    <cellStyle name="Comma 8 2 5" xfId="278" xr:uid="{02F215C7-9277-4053-9850-059251C1ED99}"/>
    <cellStyle name="Comma 8 2 5 2" xfId="783" xr:uid="{AF50B96B-919E-41DF-A256-0C5CBBE20925}"/>
    <cellStyle name="Comma 8 2 6" xfId="473" xr:uid="{93216510-51D0-4C03-B58D-8E856162C52F}"/>
    <cellStyle name="Comma 8 2 6 2" xfId="953" xr:uid="{F90A1477-33FD-467E-B592-DD44D9B2A9B8}"/>
    <cellStyle name="Comma 8 2 7" xfId="668" xr:uid="{BC4FBB20-D54D-4A0F-89F5-F581F4673852}"/>
    <cellStyle name="Comma 8 3" xfId="649" xr:uid="{F45C46E6-078B-4B3E-A24E-A2BF39D6BCE1}"/>
    <cellStyle name="Comma 9" xfId="126" xr:uid="{CC653691-B0D8-4C18-866F-BAEAF685FC12}"/>
    <cellStyle name="Comma 9 2" xfId="155" xr:uid="{CF6C0267-F62C-4D3D-B335-E93A9C2C1B1C}"/>
    <cellStyle name="Comma 9 2 2" xfId="184" xr:uid="{776DDA3C-2297-4022-9B31-6840B5CF4B9F}"/>
    <cellStyle name="Comma 9 2 2 2" xfId="246" xr:uid="{6D96913A-F281-4517-9B96-D94ECD41F83C}"/>
    <cellStyle name="Comma 9 2 2 2 2" xfId="412" xr:uid="{319E65E5-6B48-430E-A38D-22B9263FBD31}"/>
    <cellStyle name="Comma 9 2 2 2 2 2" xfId="896" xr:uid="{CFFDE64A-52CB-4F5E-A98C-992E1D400F0A}"/>
    <cellStyle name="Comma 9 2 2 2 3" xfId="593" xr:uid="{D4F32B0B-B794-4D9A-84FB-B56F9FF7527E}"/>
    <cellStyle name="Comma 9 2 2 2 3 2" xfId="1065" xr:uid="{F121177C-D73B-47E3-8949-04573701DC3A}"/>
    <cellStyle name="Comma 9 2 2 2 4" xfId="755" xr:uid="{E06CE4EF-7371-4AFB-8CBB-BD6D7B7436FD}"/>
    <cellStyle name="Comma 9 2 2 3" xfId="308" xr:uid="{14892401-FA9A-4B2B-AA0A-2C71930209C3}"/>
    <cellStyle name="Comma 9 2 2 3 2" xfId="811" xr:uid="{E3C7570F-A6C1-49A2-AD0E-8C0DC57ED117}"/>
    <cellStyle name="Comma 9 2 2 4" xfId="503" xr:uid="{4DA2FF3A-5C3B-4CC5-8825-FCBF7F66E58A}"/>
    <cellStyle name="Comma 9 2 2 4 2" xfId="981" xr:uid="{708F0501-2D60-4ED7-9017-790950DAB6D5}"/>
    <cellStyle name="Comma 9 2 2 5" xfId="697" xr:uid="{AE6930F3-D0FD-4EA6-9BC5-17FB67111854}"/>
    <cellStyle name="Comma 9 2 3" xfId="217" xr:uid="{B81EA070-FD55-4758-A8C6-502ACE4F7B58}"/>
    <cellStyle name="Comma 9 2 3 2" xfId="441" xr:uid="{78C7718A-1B0F-441E-81BE-67FFAF3A460C}"/>
    <cellStyle name="Comma 9 2 3 2 2" xfId="622" xr:uid="{D888652B-6C9B-48C6-B9D7-1E4076ADDB10}"/>
    <cellStyle name="Comma 9 2 3 2 2 2" xfId="1092" xr:uid="{9D3B3621-7493-4E94-B7A5-4D7A4ED6B329}"/>
    <cellStyle name="Comma 9 2 3 2 3" xfId="923" xr:uid="{5130FD75-C47C-47A0-AA6F-55621F98A09B}"/>
    <cellStyle name="Comma 9 2 3 3" xfId="338" xr:uid="{92C4F500-8C6A-4575-8627-7143172A3C47}"/>
    <cellStyle name="Comma 9 2 3 3 2" xfId="838" xr:uid="{C3784415-676D-4F4B-838D-D0154E8544A4}"/>
    <cellStyle name="Comma 9 2 3 4" xfId="532" xr:uid="{5837B482-992B-4B56-8415-B8FB0F839756}"/>
    <cellStyle name="Comma 9 2 3 4 2" xfId="1008" xr:uid="{82CF40D6-B156-4959-B490-40931E551FCB}"/>
    <cellStyle name="Comma 9 2 3 5" xfId="728" xr:uid="{7970F121-50BB-4448-BA5D-CBB806C4184B}"/>
    <cellStyle name="Comma 9 2 4" xfId="383" xr:uid="{C51995F4-50E2-4658-943F-F7B992813F38}"/>
    <cellStyle name="Comma 9 2 4 2" xfId="564" xr:uid="{0C9F3442-5922-409E-B5EB-4CBCAAF57BA6}"/>
    <cellStyle name="Comma 9 2 4 2 2" xfId="1038" xr:uid="{6DD4DB2B-2A5F-4EE4-BC03-63D58DB79A45}"/>
    <cellStyle name="Comma 9 2 4 3" xfId="869" xr:uid="{09482FA5-E66D-4440-BFF4-CED1E488B54F}"/>
    <cellStyle name="Comma 9 2 5" xfId="279" xr:uid="{A673E925-3ED3-4258-82C1-5E61EB3BAC61}"/>
    <cellStyle name="Comma 9 2 5 2" xfId="784" xr:uid="{4F752F50-4DDC-4916-ACC1-12674F244F86}"/>
    <cellStyle name="Comma 9 2 6" xfId="474" xr:uid="{98F40044-8C28-4690-91ED-36631EB74763}"/>
    <cellStyle name="Comma 9 2 6 2" xfId="954" xr:uid="{3DAED927-AE8E-4954-8E61-D272843D4B63}"/>
    <cellStyle name="Comma 9 2 7" xfId="669" xr:uid="{4B2D8356-0281-4397-968D-95DEE0B68BBD}"/>
    <cellStyle name="Comma 9 3" xfId="650" xr:uid="{85FBE1AC-CC02-4F17-863C-0E0CF6219020}"/>
    <cellStyle name="Comma0 - Modelo1" xfId="66" xr:uid="{3EDDD92B-84EE-4675-825D-F079165BFDB8}"/>
    <cellStyle name="Comma0 - Style1" xfId="67" xr:uid="{0A82515A-8283-4741-AC24-3F172FCD9911}"/>
    <cellStyle name="Comma1 - Modelo2" xfId="68" xr:uid="{6DBC9B43-73B8-462C-A6DC-CFCAA1EC1598}"/>
    <cellStyle name="Comma1 - Style2" xfId="69" xr:uid="{A1444136-60DE-4402-B04C-7963706F0BD4}"/>
    <cellStyle name="Currency [0] 2" xfId="368" xr:uid="{A97E49B5-1C73-490A-B7F3-497537F6B3A5}"/>
    <cellStyle name="Currency 2" xfId="146" xr:uid="{DA56E17A-C946-4CC7-A6DA-95C49122994E}"/>
    <cellStyle name="Currency 2 2" xfId="274" xr:uid="{2EE7B079-D2B8-4181-8E4E-436030B441B2}"/>
    <cellStyle name="Currency 3" xfId="152" xr:uid="{4FBE339C-1F7B-4680-A879-14A87DA7E283}"/>
    <cellStyle name="Currency 3 2" xfId="181" xr:uid="{F37D9561-44FD-4DE2-8AF2-28D8DE822C86}"/>
    <cellStyle name="Currency 3 2 2" xfId="243" xr:uid="{F1533723-13FB-487D-AFAC-076136ABEA75}"/>
    <cellStyle name="Currency 3 2 2 2" xfId="409" xr:uid="{98A7298B-F22E-42A6-B845-ACA1CA6C7F6A}"/>
    <cellStyle name="Currency 3 2 2 3" xfId="590" xr:uid="{C7265729-5DCC-4AA9-B701-7B6FC5C95E7C}"/>
    <cellStyle name="Currency 3 2 3" xfId="305" xr:uid="{4EF8D76A-5036-452C-BBB8-5C76E8B57C66}"/>
    <cellStyle name="Currency 3 2 4" xfId="500" xr:uid="{CBBEADF6-EFDF-4039-8A35-D319B67E59CA}"/>
    <cellStyle name="Currency 3 3" xfId="214" xr:uid="{D858470D-F1F5-4A4D-AA41-5342E175EBC1}"/>
    <cellStyle name="Currency 3 3 2" xfId="438" xr:uid="{91E79096-1BBB-4D9A-B01D-C2736B719C40}"/>
    <cellStyle name="Currency 3 3 2 2" xfId="619" xr:uid="{F4043CA9-4FE4-427B-9995-2EE3801F54FE}"/>
    <cellStyle name="Currency 3 3 3" xfId="335" xr:uid="{D19D4A18-E62D-42B4-A146-3149CC3478B0}"/>
    <cellStyle name="Currency 3 3 4" xfId="529" xr:uid="{E00D5A4C-47ED-4EE8-8126-A0EBEB39B3D0}"/>
    <cellStyle name="Currency 3 4" xfId="380" xr:uid="{D7840C4C-1DDC-4A40-B0FB-D43C239F9F13}"/>
    <cellStyle name="Currency 3 4 2" xfId="561" xr:uid="{1FE03DD8-6939-4557-9FA8-7B6B6F3DBA34}"/>
    <cellStyle name="Currency 3 5" xfId="276" xr:uid="{985E8691-5F74-43A1-97FC-04BF68C2442C}"/>
    <cellStyle name="Currency 3 6" xfId="471" xr:uid="{3A0ABA2C-9BBD-4A41-B6C6-8E2B100F621E}"/>
    <cellStyle name="Currency 4" xfId="171" xr:uid="{48A8957C-DEF3-4AEA-B303-0DCB6F92E84A}"/>
    <cellStyle name="Currency 4 2" xfId="233" xr:uid="{C2307E09-B377-4E9F-B310-96402F3AADB4}"/>
    <cellStyle name="Currency 4 2 2" xfId="399" xr:uid="{9F634D8D-F8BA-44FE-8C91-C491A4019AA8}"/>
    <cellStyle name="Currency 4 2 3" xfId="580" xr:uid="{FC46EF8E-9636-4849-A81E-8E7B949A712C}"/>
    <cellStyle name="Currency 4 3" xfId="295" xr:uid="{FE955C96-7849-4CCD-A071-9E9AD7772EBE}"/>
    <cellStyle name="Currency 4 4" xfId="490" xr:uid="{F2F92CA9-EE7B-4041-BCAC-73D09A0F28C0}"/>
    <cellStyle name="Currency 5" xfId="204" xr:uid="{928252E1-0757-4685-A8DD-CE496B042DE8}"/>
    <cellStyle name="Currency 5 2" xfId="428" xr:uid="{7065F595-8AE5-4F17-BC48-DA2241E96520}"/>
    <cellStyle name="Currency 5 2 2" xfId="609" xr:uid="{89FA8320-159D-47CA-98F8-2F0F10F10B8B}"/>
    <cellStyle name="Currency 5 3" xfId="324" xr:uid="{0E642BA5-85BB-4D3C-96F3-7A3A24F520B3}"/>
    <cellStyle name="Currency 5 4" xfId="519" xr:uid="{D914AB4F-A5F2-4A5E-8D65-8940F208ABA0}"/>
    <cellStyle name="Currency 6" xfId="370" xr:uid="{5F3B47E0-89C5-49C5-89F3-1D87C7363190}"/>
    <cellStyle name="Currency 6 2" xfId="551" xr:uid="{2255AF06-04E6-4A49-B378-1CB03B114199}"/>
    <cellStyle name="Currency 7" xfId="265" xr:uid="{3F9415E1-0AB8-436B-A363-AEA56EE826A3}"/>
    <cellStyle name="Currency 8" xfId="461" xr:uid="{CAAE9E2F-6D78-486E-B47C-2248EEA1ABC4}"/>
    <cellStyle name="Data" xfId="70" xr:uid="{669499B5-4BA7-43F1-AB72-FD90403EC03F}"/>
    <cellStyle name="DataInput" xfId="71" xr:uid="{527A5FCE-846B-4CB0-A0F8-4567F807A501}"/>
    <cellStyle name="Dia" xfId="72" xr:uid="{F2C81100-418A-4695-A224-9D9A9B770B76}"/>
    <cellStyle name="Encabez1" xfId="73" xr:uid="{30F32C3A-DCFF-460E-8DAA-CF935B7436A5}"/>
    <cellStyle name="Encabez2" xfId="74" xr:uid="{066385DF-BF26-4DCF-84CE-9BC76BC9D1AA}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Estilo 1" xfId="75" xr:uid="{13D72F33-A21C-421E-B9FC-97ED4F0936E8}"/>
    <cellStyle name="Euro" xfId="76" xr:uid="{25D6DDC8-5A24-44A8-B534-FA238CB7B28F}"/>
    <cellStyle name="Euro 2" xfId="366" xr:uid="{F5381FAE-7911-4423-BBDE-BA02AC5920F5}"/>
    <cellStyle name="F2" xfId="77" xr:uid="{72345092-1329-4B6B-9DF6-1894C10A4F6D}"/>
    <cellStyle name="F3" xfId="78" xr:uid="{8E5B7CF9-C019-4764-936D-D3ACD848650F}"/>
    <cellStyle name="F4" xfId="79" xr:uid="{2A0A283E-5029-45B9-8253-BAE26EAB76A9}"/>
    <cellStyle name="F5" xfId="80" xr:uid="{0FD8AB42-F47C-4FBA-95B1-A66E4741B8C3}"/>
    <cellStyle name="F6" xfId="81" xr:uid="{A4BC3E40-3B03-4584-B5B4-BC9A7D1ED4BD}"/>
    <cellStyle name="F7" xfId="82" xr:uid="{DC771C9A-0C5F-42B5-83C5-C2F400700B62}"/>
    <cellStyle name="F8" xfId="83" xr:uid="{148864D6-4D89-4502-B37C-F1FF1A79460C}"/>
    <cellStyle name="Fijo" xfId="84" xr:uid="{2DBE9E2E-77A2-447A-955C-1AF2F6A20A8A}"/>
    <cellStyle name="Financiero" xfId="85" xr:uid="{9BDFBE93-61C7-4C37-8851-E88D4E4FF012}"/>
    <cellStyle name="Header" xfId="86" xr:uid="{933E1E21-64FD-4471-AFA7-FE5B8B238509}"/>
    <cellStyle name="Header1" xfId="87" xr:uid="{093935D5-97B4-4CAF-B777-8D81BBC6AF2A}"/>
    <cellStyle name="Header2" xfId="88" xr:uid="{DDB57EEF-C1E3-4143-B012-DBC7F1249766}"/>
    <cellStyle name="Incorrecto" xfId="7" builtinId="27" customBuiltin="1"/>
    <cellStyle name="Input - heading" xfId="89" xr:uid="{4495BC87-B3AE-4BC7-868C-F90B27017C06}"/>
    <cellStyle name="Input - numbers" xfId="90" xr:uid="{5048F192-FD98-447B-9E70-7A864E706A38}"/>
    <cellStyle name="l]_x000d__x000a_Path=M:\RIOCEN01_x000d__x000a_Name=Carlos Emilio Brousse_x000d__x000a_DDEApps=nsf,nsg,nsh,ntf,ns2,ors,org_x000d__x000a_SmartIcons=Todos_x000d__x000a_" xfId="91" xr:uid="{AB74D52E-E72B-439B-B48F-B1AE695298E4}"/>
    <cellStyle name="Link - heading" xfId="92" xr:uid="{1165FE5B-01B9-4F27-A269-579284E7D6B2}"/>
    <cellStyle name="Link - numbers" xfId="93" xr:uid="{FC0F7E3A-1EA5-4513-A9B6-A338CC932872}"/>
    <cellStyle name="Millares [0] 2" xfId="94" xr:uid="{4A4A1179-E54F-4B67-8001-0FADC1D69189}"/>
    <cellStyle name="Millares [0] 2 2" xfId="202" xr:uid="{2D9EB259-A8CA-4149-A4D5-AA3EA1D8C208}"/>
    <cellStyle name="Millares [0] 2 2 2" xfId="367" xr:uid="{59E0C335-8466-4ECB-BB1B-B4F7E396F2A7}"/>
    <cellStyle name="Millares [0] 2 2 3" xfId="715" xr:uid="{9C52284C-6AA5-41AD-835F-4653C83578C5}"/>
    <cellStyle name="Millares [0] 2 3" xfId="201" xr:uid="{544E02F6-D992-42C3-9552-37591C766E6C}"/>
    <cellStyle name="Millares [0] 2 3 2" xfId="714" xr:uid="{E454CABE-204A-4AFA-97A9-27E90801DD99}"/>
    <cellStyle name="Millares [0] 3" xfId="200" xr:uid="{D272E312-9262-4E03-8224-DBE9B5E613B9}"/>
    <cellStyle name="Millares [0] 4" xfId="713" xr:uid="{5C2B1C02-5903-420E-A628-5ECCBCA44D14}"/>
    <cellStyle name="Millares 10" xfId="647" xr:uid="{2D4DEBB8-B9DE-4BA6-969F-07E627BB63F3}"/>
    <cellStyle name="Millares 11" xfId="685" xr:uid="{14B32E0E-6012-483F-B368-C43E619C063B}"/>
    <cellStyle name="Millares 12" xfId="1113" xr:uid="{1915C44E-25F3-4B6D-B9F5-59D6E9D54186}"/>
    <cellStyle name="Millares 2" xfId="95" xr:uid="{DDD84560-BE26-45CB-B8EB-94290B2DD3A1}"/>
    <cellStyle name="Millares 2 2" xfId="358" xr:uid="{243F797F-169F-4959-82BF-5D849B3D9613}"/>
    <cellStyle name="Millares 2 2 2" xfId="458" xr:uid="{904D790C-F74F-4020-9C37-8FCA38292965}"/>
    <cellStyle name="Millares 2 2 2 2" xfId="639" xr:uid="{93894EFE-B7E5-471F-83FB-044613BF10FA}"/>
    <cellStyle name="Millares 2 2 2 2 2" xfId="1109" xr:uid="{09406915-05F7-46B7-90DC-1CF555941C53}"/>
    <cellStyle name="Millares 2 2 2 3" xfId="940" xr:uid="{CE589196-1490-4996-B03B-ABB253056390}"/>
    <cellStyle name="Millares 2 2 3" xfId="549" xr:uid="{1AC82F84-A6B8-4C13-A4DB-0C9F349F6DE4}"/>
    <cellStyle name="Millares 2 2 3 2" xfId="1025" xr:uid="{BBCE0ADE-6721-4F98-A723-57246CC47FB0}"/>
    <cellStyle name="Millares 2 2 4" xfId="855" xr:uid="{772C5EC7-7E92-45B3-BC1B-FB3E43616DCB}"/>
    <cellStyle name="Millares 3" xfId="148" xr:uid="{7C60B27D-1CE1-4C59-9EE0-E0E7638F6D95}"/>
    <cellStyle name="Millares 3 2" xfId="96" xr:uid="{746F0A1D-0C56-483B-8D4F-F81DDA46783A}"/>
    <cellStyle name="Millares 3 2 2" xfId="359" xr:uid="{72961F67-09A5-4566-9916-282786ED68F0}"/>
    <cellStyle name="Millares 3 3" xfId="170" xr:uid="{520087D9-BC02-45D8-AC3B-450304FC58BA}"/>
    <cellStyle name="Millares 3 3 2" xfId="199" xr:uid="{EC8DA172-FD77-4E59-B5D4-6C09CB60F4C5}"/>
    <cellStyle name="Millares 3 3 2 2" xfId="261" xr:uid="{46E74093-ECA7-4F6A-8A60-6F9BC8F74A55}"/>
    <cellStyle name="Millares 3 3 2 2 2" xfId="427" xr:uid="{82BF4FDD-A090-4185-9E79-C12199CA92CC}"/>
    <cellStyle name="Millares 3 3 2 2 2 2" xfId="911" xr:uid="{55C18FFB-FC88-46DB-9A24-E9BF044493D2}"/>
    <cellStyle name="Millares 3 3 2 2 3" xfId="608" xr:uid="{28028D94-6079-4B1B-B9EF-955309985660}"/>
    <cellStyle name="Millares 3 3 2 2 3 2" xfId="1080" xr:uid="{FD286360-DC59-4DB8-BFFA-7B67BA71192D}"/>
    <cellStyle name="Millares 3 3 2 2 4" xfId="770" xr:uid="{C1B92E8B-4AD8-4232-AD66-5FBBA8993C4F}"/>
    <cellStyle name="Millares 3 3 2 3" xfId="323" xr:uid="{EE8D97F9-4419-4F6E-B6C6-84B0A3EE255E}"/>
    <cellStyle name="Millares 3 3 2 3 2" xfId="826" xr:uid="{BD488622-72A1-49A6-B136-E57ED6F5CA6A}"/>
    <cellStyle name="Millares 3 3 2 4" xfId="518" xr:uid="{219755CE-B299-4880-9BDE-75988C9F42FE}"/>
    <cellStyle name="Millares 3 3 2 4 2" xfId="996" xr:uid="{A423FBA8-2072-4D08-8E4E-E1A71CAFB1A6}"/>
    <cellStyle name="Millares 3 3 2 5" xfId="712" xr:uid="{4646BC6F-DC4E-40D3-B12D-0DD4D5115BF5}"/>
    <cellStyle name="Millares 3 3 3" xfId="232" xr:uid="{87A85E0A-1762-4D82-B626-C74152727520}"/>
    <cellStyle name="Millares 3 3 3 2" xfId="456" xr:uid="{4D9165FC-FF8A-4BFC-81EF-D99C794A1A39}"/>
    <cellStyle name="Millares 3 3 3 2 2" xfId="637" xr:uid="{BD479ED7-A493-4156-B077-D37A1ADFAB79}"/>
    <cellStyle name="Millares 3 3 3 2 2 2" xfId="1107" xr:uid="{A8949504-6519-47B9-AAC7-A8911BFA26E8}"/>
    <cellStyle name="Millares 3 3 3 2 3" xfId="938" xr:uid="{6A75BDF9-E290-4C5C-9C08-BE6EB8EE4951}"/>
    <cellStyle name="Millares 3 3 3 3" xfId="353" xr:uid="{97A11BF4-D436-4308-ABBF-1E89DBC9DD8A}"/>
    <cellStyle name="Millares 3 3 3 3 2" xfId="853" xr:uid="{A6E4014F-1A5F-4A5B-9935-3AC1E5AF6230}"/>
    <cellStyle name="Millares 3 3 3 4" xfId="547" xr:uid="{FE1F34B4-B044-4230-BBA1-9C7CC729BC9F}"/>
    <cellStyle name="Millares 3 3 3 4 2" xfId="1023" xr:uid="{47563EC6-C03E-487E-9B4B-15E311AEF693}"/>
    <cellStyle name="Millares 3 3 3 5" xfId="743" xr:uid="{E66FAE87-5EBE-4640-9C77-9ABCE500A93A}"/>
    <cellStyle name="Millares 3 3 4" xfId="398" xr:uid="{57BA1697-BEE0-402A-AEA5-59120F8107D3}"/>
    <cellStyle name="Millares 3 3 4 2" xfId="579" xr:uid="{CF8A2723-49E7-4428-9575-2F1FAA0F62C6}"/>
    <cellStyle name="Millares 3 3 4 2 2" xfId="1053" xr:uid="{B903983F-290D-4FA5-9B3C-363AE854A8B9}"/>
    <cellStyle name="Millares 3 3 4 3" xfId="884" xr:uid="{505360D5-85E7-41D4-B12E-18E28400E01B}"/>
    <cellStyle name="Millares 3 3 5" xfId="294" xr:uid="{657D43F1-2E51-4F5C-A020-FE787AA60E42}"/>
    <cellStyle name="Millares 3 3 5 2" xfId="799" xr:uid="{0C71934E-6A92-4E6E-A2FE-3BA099FFE525}"/>
    <cellStyle name="Millares 3 3 6" xfId="489" xr:uid="{F4DF8E74-3183-4F39-91E5-C64BF7CF5DF8}"/>
    <cellStyle name="Millares 3 3 6 2" xfId="969" xr:uid="{81415823-1915-47F6-BF88-FCCE7FBACE1E}"/>
    <cellStyle name="Millares 3 3 7" xfId="684" xr:uid="{7A752D55-9EF7-4DA4-94EC-2CCDF945D7AD}"/>
    <cellStyle name="Millares 3 4" xfId="666" xr:uid="{10082BCC-47A8-4AB4-864B-2C0C1B574C1B}"/>
    <cellStyle name="Millares 4" xfId="118" xr:uid="{37657028-AEBC-4E9E-9F64-DA7429A6736A}"/>
    <cellStyle name="Millares 4 2" xfId="153" xr:uid="{8E96FD90-BC35-4993-B8D0-1A30F5974C40}"/>
    <cellStyle name="Millares 4 2 2" xfId="182" xr:uid="{37037540-2F93-4FAC-B266-2875C7BE828D}"/>
    <cellStyle name="Millares 4 2 2 2" xfId="244" xr:uid="{4E1C9D90-8CCF-47FC-82B9-388A20CB61C6}"/>
    <cellStyle name="Millares 4 2 2 2 2" xfId="410" xr:uid="{5700FF1E-FD14-4CAE-8843-34CFDB493267}"/>
    <cellStyle name="Millares 4 2 2 2 2 2" xfId="894" xr:uid="{823C148F-5136-45B3-ABA4-F0BAA94FE9EB}"/>
    <cellStyle name="Millares 4 2 2 2 3" xfId="591" xr:uid="{9E65D377-5E59-49F7-8A7E-CF431ABB950E}"/>
    <cellStyle name="Millares 4 2 2 2 3 2" xfId="1063" xr:uid="{64B390DC-7F4B-461F-8AAB-3C1C94C9514F}"/>
    <cellStyle name="Millares 4 2 2 2 4" xfId="753" xr:uid="{8C3AC1F5-CD4A-4F21-AE17-26A6A191E415}"/>
    <cellStyle name="Millares 4 2 2 3" xfId="306" xr:uid="{8EC18B6E-AC1D-46D7-842E-D3F51273A296}"/>
    <cellStyle name="Millares 4 2 2 3 2" xfId="809" xr:uid="{4F3DA4AE-C4A9-4AEC-A31E-285CDB82DD46}"/>
    <cellStyle name="Millares 4 2 2 4" xfId="501" xr:uid="{8E002535-7942-4000-8302-A8C80826BC76}"/>
    <cellStyle name="Millares 4 2 2 4 2" xfId="979" xr:uid="{585AF5BA-F286-4A9B-8161-99204C487A61}"/>
    <cellStyle name="Millares 4 2 2 5" xfId="695" xr:uid="{F698F219-8E78-41B4-86FD-08EB4924B41A}"/>
    <cellStyle name="Millares 4 2 3" xfId="215" xr:uid="{3E8F44F3-7741-4BFA-8F71-55616508F54E}"/>
    <cellStyle name="Millares 4 2 3 2" xfId="439" xr:uid="{FE64C25C-19FD-4917-B7DD-DBDBDE295423}"/>
    <cellStyle name="Millares 4 2 3 2 2" xfId="620" xr:uid="{A5567032-445E-49CC-A2BB-CA4D853E08B8}"/>
    <cellStyle name="Millares 4 2 3 2 2 2" xfId="1090" xr:uid="{3817ECDD-332E-45DE-9C26-669068859B36}"/>
    <cellStyle name="Millares 4 2 3 2 3" xfId="921" xr:uid="{E3816E32-61A6-4011-8B7E-9FA26B7225B1}"/>
    <cellStyle name="Millares 4 2 3 3" xfId="336" xr:uid="{846F320E-09D3-4568-A628-9240432EA1A0}"/>
    <cellStyle name="Millares 4 2 3 3 2" xfId="836" xr:uid="{3E75A698-934C-4A1E-8B3E-2A4E2FC9427F}"/>
    <cellStyle name="Millares 4 2 3 4" xfId="530" xr:uid="{8E94F9FE-50DE-4B93-BFAE-C20137C34357}"/>
    <cellStyle name="Millares 4 2 3 4 2" xfId="1006" xr:uid="{88E7EC2A-1C36-413F-AC2F-0F161842C05C}"/>
    <cellStyle name="Millares 4 2 3 5" xfId="726" xr:uid="{5C25F52F-0C12-42DE-9712-1DB04471B2A8}"/>
    <cellStyle name="Millares 4 2 4" xfId="381" xr:uid="{D59ACA8E-1FB0-4C1D-BBF9-219466E51C53}"/>
    <cellStyle name="Millares 4 2 4 2" xfId="562" xr:uid="{E1A23185-D739-4F6A-BF14-228319E1201B}"/>
    <cellStyle name="Millares 4 2 4 2 2" xfId="1036" xr:uid="{5F873983-BC36-4C2C-854E-308CBE67D452}"/>
    <cellStyle name="Millares 4 2 4 3" xfId="867" xr:uid="{BABEDC84-9D42-4A5B-84FF-862FE0BD5652}"/>
    <cellStyle name="Millares 4 2 5" xfId="277" xr:uid="{CA2FAC74-FD5F-4ED4-9CDD-F8A87E195CC2}"/>
    <cellStyle name="Millares 4 2 5 2" xfId="782" xr:uid="{EAC94451-D94A-4EDB-9E5B-A497AC43002B}"/>
    <cellStyle name="Millares 4 2 6" xfId="472" xr:uid="{EDD33B24-D5C5-4E4C-B0FF-510927327CC0}"/>
    <cellStyle name="Millares 4 2 6 2" xfId="952" xr:uid="{01F61971-FB4D-4218-A3FD-130A7E2A578E}"/>
    <cellStyle name="Millares 4 2 7" xfId="667" xr:uid="{E956A109-1DCE-40E5-B559-77C6A4DE52D4}"/>
    <cellStyle name="Millares 4 3" xfId="172" xr:uid="{386F1CA1-341C-4DD9-97B8-7898755C63E8}"/>
    <cellStyle name="Millares 4 3 2" xfId="234" xr:uid="{CC15E2D5-32AC-430E-9AEC-4998A937C8C2}"/>
    <cellStyle name="Millares 4 3 2 2" xfId="400" xr:uid="{1B2BD77E-C65C-43C2-8136-77E291BE3CF4}"/>
    <cellStyle name="Millares 4 3 2 2 2" xfId="885" xr:uid="{586DE8E6-B63D-4F92-89CA-41847E1C2131}"/>
    <cellStyle name="Millares 4 3 2 3" xfId="581" xr:uid="{26D8288C-5FA5-4556-AAC8-3A789108670A}"/>
    <cellStyle name="Millares 4 3 2 3 2" xfId="1054" xr:uid="{E11260E3-3ADA-43BF-882C-507414EF6373}"/>
    <cellStyle name="Millares 4 3 2 4" xfId="744" xr:uid="{5BBB3FD7-9AFC-4BF4-B1A5-FC4E68AA8556}"/>
    <cellStyle name="Millares 4 3 3" xfId="296" xr:uid="{021C3ECC-898C-46E0-8B5A-3459DFB6E878}"/>
    <cellStyle name="Millares 4 3 3 2" xfId="800" xr:uid="{B6F2A8F7-C068-4D46-838D-2E47115C510D}"/>
    <cellStyle name="Millares 4 3 4" xfId="491" xr:uid="{12AE6051-6637-44D2-BF54-0239A6659A9F}"/>
    <cellStyle name="Millares 4 3 4 2" xfId="970" xr:uid="{81F38F1E-C345-4EA6-92B2-BF917DFB14C2}"/>
    <cellStyle name="Millares 4 3 5" xfId="686" xr:uid="{58037FD2-B19F-4E94-8151-7D3D6DEE94FE}"/>
    <cellStyle name="Millares 4 4" xfId="205" xr:uid="{20FB8139-F18D-427B-8C68-A91E2351EC6E}"/>
    <cellStyle name="Millares 4 4 2" xfId="429" xr:uid="{B2AAE4C4-F601-4EFA-81D6-2A5B17AEC881}"/>
    <cellStyle name="Millares 4 4 2 2" xfId="610" xr:uid="{4DCBE2E2-C67C-473E-8D55-868A4FC1E7B5}"/>
    <cellStyle name="Millares 4 4 2 2 2" xfId="1081" xr:uid="{51B2DF74-B858-49AE-B2B2-DA4F4C03C6AB}"/>
    <cellStyle name="Millares 4 4 2 3" xfId="912" xr:uid="{16082A5B-4576-4D3A-B912-244C02432C23}"/>
    <cellStyle name="Millares 4 4 3" xfId="325" xr:uid="{1C1CF57F-2E75-482A-9EFD-F3DD426644E7}"/>
    <cellStyle name="Millares 4 4 3 2" xfId="827" xr:uid="{E15450BE-6725-41D9-B95F-EB870E6C5115}"/>
    <cellStyle name="Millares 4 4 4" xfId="520" xr:uid="{1DF592A0-D821-4D4B-8EBC-27C5FB3C6A40}"/>
    <cellStyle name="Millares 4 4 4 2" xfId="997" xr:uid="{B93D1E81-6238-4B79-821D-F1720C797C17}"/>
    <cellStyle name="Millares 4 4 5" xfId="717" xr:uid="{B067C93F-DCC6-4589-AFB8-0C1DFD955BA7}"/>
    <cellStyle name="Millares 4 5" xfId="371" xr:uid="{5C73E003-974B-4D2D-8C37-B3619F6EDE45}"/>
    <cellStyle name="Millares 4 5 2" xfId="552" xr:uid="{A3CF2849-B2D0-4E4D-AAA9-F30E6B673EEC}"/>
    <cellStyle name="Millares 4 5 2 2" xfId="1027" xr:uid="{F0F804A1-2FD1-47E1-806B-0E57EE6D0EDB}"/>
    <cellStyle name="Millares 4 5 3" xfId="857" xr:uid="{3442F1F5-F9C7-4A55-B1AA-9C3CF06A11B4}"/>
    <cellStyle name="Millares 4 6" xfId="266" xr:uid="{6D711F6B-3D44-48F7-9740-895462ADB1AC}"/>
    <cellStyle name="Millares 4 6 2" xfId="773" xr:uid="{0F983B76-CEA1-4E67-916E-90E6E5BDD090}"/>
    <cellStyle name="Millares 4 7" xfId="462" xr:uid="{D8D05F7A-6123-40E0-A135-A885139879E8}"/>
    <cellStyle name="Millares 4 7 2" xfId="943" xr:uid="{92B73E8A-32F3-4D1D-89B1-3ACDA2E69FC7}"/>
    <cellStyle name="Millares 4 8" xfId="648" xr:uid="{FCAE1DA5-1050-4B6E-A603-1F4F1D2961A9}"/>
    <cellStyle name="Millares 5" xfId="119" xr:uid="{1A5E4479-BB63-4510-A451-5327EAA4BF9A}"/>
    <cellStyle name="Millares 6" xfId="35" xr:uid="{1AEA95E2-4D5F-4B10-B114-6F6FD766345A}"/>
    <cellStyle name="Millares 7" xfId="37" xr:uid="{105CC2E9-8B78-4B8F-881A-B760314079AE}"/>
    <cellStyle name="Millares 8" xfId="39" xr:uid="{175AA21C-CF0E-41BA-AA1F-3100B356B0D1}"/>
    <cellStyle name="Millares 9" xfId="644" xr:uid="{1AC2F7C6-43C5-4F26-A0AE-9381DE7155E3}"/>
    <cellStyle name="Moneda [0] 2" xfId="263" xr:uid="{27193EF9-7E5D-4991-98A6-2FBB571B3B70}"/>
    <cellStyle name="Moneda 10" xfId="646" xr:uid="{C294545C-F724-4A6D-8EFC-78F15619666A}"/>
    <cellStyle name="Moneda 11" xfId="866" xr:uid="{6B9CECB2-0A34-4717-A680-3A04FE990121}"/>
    <cellStyle name="Moneda 12" xfId="1112" xr:uid="{6FA72D3E-F564-48E1-8EEB-8BCE1C17AAB4}"/>
    <cellStyle name="Moneda 2" xfId="362" xr:uid="{13CBCA10-6814-4E0F-8227-C3B77C316250}"/>
    <cellStyle name="Moneda 3" xfId="361" xr:uid="{EFA09BA2-C9F8-44D4-A718-EAF80C264497}"/>
    <cellStyle name="Moneda 4" xfId="363" xr:uid="{7904FC6C-2036-448E-AA8B-42833712314B}"/>
    <cellStyle name="Moneda 5" xfId="365" xr:uid="{98243D62-DB00-400C-BE30-6EABF1BF1861}"/>
    <cellStyle name="Moneda 6" xfId="50" xr:uid="{359DBBEA-986F-4E22-BAA7-680701B98FE3}"/>
    <cellStyle name="Moneda 7" xfId="642" xr:uid="{0F9D1680-5AAE-4ACF-A082-B19964A12228}"/>
    <cellStyle name="Moneda 8" xfId="643" xr:uid="{CE3D35FD-6C86-4FCF-AD89-CA903D8ED2B9}"/>
    <cellStyle name="Moneda 9" xfId="645" xr:uid="{46E2D1A7-DE89-434B-B2FD-B5E66347D8D8}"/>
    <cellStyle name="Monetario" xfId="97" xr:uid="{E348EEAD-04C0-4B5B-BC92-640399B356D9}"/>
    <cellStyle name="Neutral 2" xfId="38" xr:uid="{CD5542C5-672E-4F14-9E12-46E1D83AEE51}"/>
    <cellStyle name="no dec" xfId="98" xr:uid="{03507552-668B-478F-A8DA-EE9A4BDF834E}"/>
    <cellStyle name="No-definido" xfId="99" xr:uid="{308A106F-76DE-45ED-B5A4-0D1D638DDEEB}"/>
    <cellStyle name="Normal" xfId="0" builtinId="0"/>
    <cellStyle name="Normal - Style1" xfId="100" xr:uid="{6C871803-7A7A-4E6E-95E0-7ACB8E8C90B1}"/>
    <cellStyle name="Normal 10" xfId="120" xr:uid="{9426EA95-D307-4CF7-9A78-EB9229092A2B}"/>
    <cellStyle name="Normal 11" xfId="138" xr:uid="{2BCF0DDC-0E4F-4564-9162-CD9CE29E1C13}"/>
    <cellStyle name="Normal 11 2" xfId="150" xr:uid="{69B72D56-C27B-46DC-8D8B-B00B1F2D433A}"/>
    <cellStyle name="Normal 12" xfId="140" xr:uid="{299AD75F-7D97-44DD-806B-760E195B7C44}"/>
    <cellStyle name="Normal 12 2" xfId="334" xr:uid="{0D040EB1-16A3-4343-BA86-2433B222E716}"/>
    <cellStyle name="Normal 13" xfId="141" xr:uid="{0F66A196-A2B5-46A2-AF96-E058C5A890AE}"/>
    <cellStyle name="Normal 14" xfId="143" xr:uid="{405D6F2A-B506-4B2D-B519-D09EBC64350E}"/>
    <cellStyle name="Normal 14 2" xfId="151" xr:uid="{F535BBAD-0618-4F84-BD50-9895D87F3A13}"/>
    <cellStyle name="Normal 15" xfId="354" xr:uid="{919B8E8D-E306-4D2C-82E0-F4BD05F21AC4}"/>
    <cellStyle name="Normal 2" xfId="46" xr:uid="{6C81DF36-F67C-457E-99FD-CB4CA03B84F3}"/>
    <cellStyle name="Normal 2 2" xfId="48" xr:uid="{8123DB36-06E9-453D-B4CA-0F0B52692A54}"/>
    <cellStyle name="Normal 2 3" xfId="357" xr:uid="{9BCB4358-6A43-4CBD-9C28-C22A7FD15D73}"/>
    <cellStyle name="Normal 3" xfId="49" xr:uid="{3FDB2E72-2CE2-4F60-A20D-716D4617EDAB}"/>
    <cellStyle name="Normal 3 2" xfId="52" xr:uid="{03725554-C231-4E00-A1AB-2FC68F5B9E08}"/>
    <cellStyle name="Normal 4" xfId="101" xr:uid="{8804BCDC-8D98-4069-B0E0-106BFB59C520}"/>
    <cellStyle name="Normal 4 2" xfId="356" xr:uid="{2F29CF73-3992-46FA-A515-4823AE835E46}"/>
    <cellStyle name="Normal 5" xfId="102" xr:uid="{6DB10138-7BB9-4244-A8E7-94EE7911EB00}"/>
    <cellStyle name="Normal 6" xfId="103" xr:uid="{167781E6-351B-4770-829C-BCA2528E4B3D}"/>
    <cellStyle name="Normal 7" xfId="104" xr:uid="{8A94DD42-827F-45C8-AEC3-518E041EA07E}"/>
    <cellStyle name="Normal 8" xfId="105" xr:uid="{57B2AE73-34EF-4395-80B5-A2D92805C680}"/>
    <cellStyle name="Normal 8 2" xfId="121" xr:uid="{70C8DEA0-DE4F-466F-8664-CECC245E44A6}"/>
    <cellStyle name="Normal 9" xfId="136" xr:uid="{D5611657-7688-49CA-8CFD-D35D7B920049}"/>
    <cellStyle name="Notas" xfId="14" builtinId="10" customBuiltin="1"/>
    <cellStyle name="Number" xfId="106" xr:uid="{856BCC57-ADC8-4987-8697-305C53382791}"/>
    <cellStyle name="Parciales" xfId="107" xr:uid="{DAF0A19F-5D16-4FF5-B048-69782EEA6497}"/>
    <cellStyle name="Percent 2" xfId="51" xr:uid="{146EC2CA-ADC6-4712-8AF9-F921BB976403}"/>
    <cellStyle name="Percent 3" xfId="123" xr:uid="{DDD22160-1EE2-4420-BA05-3CF319061985}"/>
    <cellStyle name="pesonal" xfId="108" xr:uid="{31F4F3B6-070A-4D59-9B16-F85765DCB40A}"/>
    <cellStyle name="Porcentaje" xfId="1" builtinId="5"/>
    <cellStyle name="Porcentaje 2" xfId="109" xr:uid="{902B1410-A8A0-4670-9A02-C6E3245F24DF}"/>
    <cellStyle name="Porcentaje 3" xfId="110" xr:uid="{4838B3B6-455F-41FE-B5C4-4CDE35C9A966}"/>
    <cellStyle name="Porcentaje 3 2" xfId="360" xr:uid="{DD486805-6721-4AA3-B42D-FC51F9CD2DDF}"/>
    <cellStyle name="Porcentaje 4" xfId="364" xr:uid="{3F5FDA66-693A-4C90-A7F5-1E93F5599785}"/>
    <cellStyle name="PricingProducts" xfId="111" xr:uid="{FFC2725B-D57F-4056-92F8-4C2BB24EFF0A}"/>
    <cellStyle name="RM" xfId="112" xr:uid="{804489A9-7073-4078-A2B1-8643403DB6AD}"/>
    <cellStyle name="Salida" xfId="9" builtinId="21" customBuiltin="1"/>
    <cellStyle name="Standaard_190 Flujos totales con pens 5 GRMF95" xfId="113" xr:uid="{8B50C42E-0C00-483B-9E59-36B7D4FE7F46}"/>
    <cellStyle name="Table Heading 3" xfId="124" xr:uid="{622767C7-390A-4C24-AF8F-405FAB5260CD}"/>
    <cellStyle name="Texto de advertencia" xfId="13" builtinId="11" customBuiltin="1"/>
    <cellStyle name="Texto explicativo" xfId="15" builtinId="53" customBuiltin="1"/>
    <cellStyle name="Title 2" xfId="114" xr:uid="{6FA5EDF1-8A25-4FFB-A41F-11CA11C404EA}"/>
    <cellStyle name="Título 2" xfId="3" builtinId="17" customBuiltin="1"/>
    <cellStyle name="Título 3" xfId="4" builtinId="18" customBuiltin="1"/>
    <cellStyle name="Título 4" xfId="36" xr:uid="{9DF4BBEB-76A2-415C-A6F6-29FAB45D6E57}"/>
    <cellStyle name="Total" xfId="16" builtinId="25" customBuiltin="1"/>
    <cellStyle name="Total 2" xfId="115" xr:uid="{21ADD6A0-5802-40BC-A718-7F93FA19B4C1}"/>
    <cellStyle name="WASP_PLStyle" xfId="116" xr:uid="{B247E23C-F530-4136-BD5C-101308A1A2F5}"/>
    <cellStyle name="Wording - blue" xfId="117" xr:uid="{23C3888C-46D0-41E1-8A59-983BBDB56366}"/>
  </cellStyles>
  <dxfs count="2">
    <dxf>
      <font>
        <b/>
        <i val="0"/>
      </font>
    </dxf>
    <dxf>
      <fill>
        <gradientFill degree="90">
          <stop position="0">
            <color theme="0"/>
          </stop>
          <stop position="1">
            <color theme="0" tint="-0.25098422193060094"/>
          </stop>
        </gradientFill>
      </fill>
      <border>
        <top style="thin">
          <color indexed="64"/>
        </top>
        <bottom style="thin">
          <color indexed="64"/>
        </bottom>
      </border>
    </dxf>
  </dxfs>
  <tableStyles count="2" defaultTableStyle="TableStyleMedium9" defaultPivotStyle="PivotStyleLight16">
    <tableStyle name="Invisible" pivot="0" table="0" count="0" xr9:uid="{C4DAFDF6-9D68-4401-915C-30AB31E67A78}"/>
    <tableStyle name="SSC_proph_data_style" pivot="0" count="2" xr9:uid="{4404F71F-461B-45F3-AFFF-DCE069453F04}">
      <tableStyleElement type="wholeTabl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A19" workbookViewId="0">
      <selection activeCell="A31" sqref="A31"/>
    </sheetView>
  </sheetViews>
  <sheetFormatPr baseColWidth="10" defaultColWidth="8.6328125" defaultRowHeight="14.5"/>
  <cols>
    <col min="1" max="1" width="11.81640625" bestFit="1" customWidth="1"/>
    <col min="2" max="2" width="16.81640625" bestFit="1" customWidth="1"/>
    <col min="3" max="3" width="15" bestFit="1" customWidth="1"/>
    <col min="4" max="4" width="18.6328125" bestFit="1" customWidth="1"/>
    <col min="5" max="5" width="11.81640625" bestFit="1" customWidth="1"/>
    <col min="6" max="6" width="16.6328125" bestFit="1" customWidth="1"/>
    <col min="7" max="7" width="17.90625" bestFit="1" customWidth="1"/>
    <col min="8" max="8" width="7.1796875" bestFit="1" customWidth="1"/>
    <col min="9" max="9" width="18.54296875" bestFit="1" customWidth="1"/>
    <col min="10" max="10" width="19.1796875" bestFit="1" customWidth="1"/>
    <col min="11" max="11" width="14.3632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>
      <c r="A2" s="1">
        <v>87020008786</v>
      </c>
      <c r="B2">
        <v>321110770.71896952</v>
      </c>
      <c r="C2">
        <v>0</v>
      </c>
      <c r="D2">
        <v>12844430.82875878</v>
      </c>
      <c r="E2">
        <v>0</v>
      </c>
      <c r="F2">
        <v>333955201.54772818</v>
      </c>
      <c r="G2" t="s">
        <v>11</v>
      </c>
      <c r="H2">
        <v>4</v>
      </c>
      <c r="I2">
        <v>4</v>
      </c>
      <c r="J2">
        <v>1750905</v>
      </c>
      <c r="K2">
        <v>0</v>
      </c>
      <c r="M2" s="19">
        <f>D2/B2</f>
        <v>3.9999999999999994E-2</v>
      </c>
      <c r="N2" s="20">
        <f>IFERROR(E2/C2,0)</f>
        <v>0</v>
      </c>
    </row>
    <row r="3" spans="1:14">
      <c r="A3" s="1">
        <v>87020008787</v>
      </c>
      <c r="B3">
        <v>530369496.33015972</v>
      </c>
      <c r="C3">
        <v>3098865.2894248208</v>
      </c>
      <c r="D3">
        <v>21214779.853206389</v>
      </c>
      <c r="E3">
        <v>123954.6115769929</v>
      </c>
      <c r="F3">
        <v>554807096.08436799</v>
      </c>
      <c r="G3" t="s">
        <v>11</v>
      </c>
      <c r="H3">
        <v>4</v>
      </c>
      <c r="I3">
        <v>4</v>
      </c>
      <c r="J3">
        <v>1750905</v>
      </c>
      <c r="K3">
        <v>40.534013218449651</v>
      </c>
      <c r="M3" s="19">
        <f t="shared" ref="M3:M34" si="0">D3/B3</f>
        <v>0.04</v>
      </c>
      <c r="N3" s="20">
        <f t="shared" ref="N3:N34" si="1">IFERROR(E3/C3,0)</f>
        <v>4.0000000000000022E-2</v>
      </c>
    </row>
    <row r="4" spans="1:14">
      <c r="A4" s="1">
        <v>87020008788</v>
      </c>
      <c r="B4">
        <v>467782720.11576492</v>
      </c>
      <c r="C4">
        <v>0</v>
      </c>
      <c r="D4">
        <v>18711308.804630589</v>
      </c>
      <c r="E4">
        <v>0</v>
      </c>
      <c r="F4">
        <v>486494028.92039537</v>
      </c>
      <c r="G4" t="s">
        <v>11</v>
      </c>
      <c r="H4">
        <v>4</v>
      </c>
      <c r="I4">
        <v>4</v>
      </c>
      <c r="J4">
        <v>1750905</v>
      </c>
      <c r="K4">
        <v>0</v>
      </c>
      <c r="M4" s="19">
        <f t="shared" si="0"/>
        <v>3.999999999999998E-2</v>
      </c>
      <c r="N4" s="20">
        <f t="shared" si="1"/>
        <v>0</v>
      </c>
    </row>
    <row r="5" spans="1:14">
      <c r="A5" s="1">
        <v>87020008789</v>
      </c>
      <c r="B5">
        <v>434792761.86637872</v>
      </c>
      <c r="C5">
        <v>0</v>
      </c>
      <c r="D5">
        <v>17391710.474655151</v>
      </c>
      <c r="E5">
        <v>0</v>
      </c>
      <c r="F5">
        <v>452184472.34103382</v>
      </c>
      <c r="G5" t="s">
        <v>11</v>
      </c>
      <c r="H5">
        <v>4</v>
      </c>
      <c r="I5">
        <v>4</v>
      </c>
      <c r="J5">
        <v>2160070.298</v>
      </c>
      <c r="K5">
        <v>0</v>
      </c>
      <c r="M5" s="19">
        <f t="shared" si="0"/>
        <v>4.0000000000000008E-2</v>
      </c>
      <c r="N5" s="20">
        <f t="shared" si="1"/>
        <v>0</v>
      </c>
    </row>
    <row r="6" spans="1:14">
      <c r="A6" s="1">
        <v>87020008790</v>
      </c>
      <c r="B6">
        <v>383139826.90350229</v>
      </c>
      <c r="C6">
        <v>2814497.820374683</v>
      </c>
      <c r="D6">
        <v>15325593.076140091</v>
      </c>
      <c r="E6">
        <v>112579.9128149874</v>
      </c>
      <c r="F6">
        <v>401392497.71283197</v>
      </c>
      <c r="G6" t="s">
        <v>11</v>
      </c>
      <c r="H6">
        <v>4</v>
      </c>
      <c r="I6">
        <v>4</v>
      </c>
      <c r="J6">
        <v>1750905</v>
      </c>
      <c r="K6">
        <v>32.550766933090657</v>
      </c>
      <c r="M6" s="19">
        <f t="shared" si="0"/>
        <v>0.04</v>
      </c>
      <c r="N6" s="20">
        <f t="shared" si="1"/>
        <v>4.0000000000000029E-2</v>
      </c>
    </row>
    <row r="7" spans="1:14">
      <c r="A7" s="1">
        <v>87020008791</v>
      </c>
      <c r="B7">
        <v>473311040.88534582</v>
      </c>
      <c r="C7">
        <v>0</v>
      </c>
      <c r="D7">
        <v>18932441.635413829</v>
      </c>
      <c r="E7">
        <v>0</v>
      </c>
      <c r="F7">
        <v>492243482.52075958</v>
      </c>
      <c r="G7" t="s">
        <v>11</v>
      </c>
      <c r="H7">
        <v>4</v>
      </c>
      <c r="I7">
        <v>4</v>
      </c>
      <c r="J7">
        <v>1750905</v>
      </c>
      <c r="K7">
        <v>0</v>
      </c>
      <c r="M7" s="19">
        <f t="shared" si="0"/>
        <v>3.9999999999999994E-2</v>
      </c>
      <c r="N7" s="20">
        <f t="shared" si="1"/>
        <v>0</v>
      </c>
    </row>
    <row r="8" spans="1:14">
      <c r="A8" s="1">
        <v>87020008792</v>
      </c>
      <c r="B8">
        <v>294158741.47430909</v>
      </c>
      <c r="C8">
        <v>0</v>
      </c>
      <c r="D8">
        <v>11766349.65897237</v>
      </c>
      <c r="E8">
        <v>0</v>
      </c>
      <c r="F8">
        <v>305925091.13328153</v>
      </c>
      <c r="G8" t="s">
        <v>12</v>
      </c>
      <c r="H8">
        <v>4</v>
      </c>
      <c r="I8">
        <v>4</v>
      </c>
      <c r="J8">
        <v>1750905</v>
      </c>
      <c r="K8">
        <v>0</v>
      </c>
      <c r="M8" s="19">
        <f t="shared" si="0"/>
        <v>4.0000000000000022E-2</v>
      </c>
      <c r="N8" s="20">
        <f t="shared" si="1"/>
        <v>0</v>
      </c>
    </row>
    <row r="9" spans="1:14">
      <c r="A9" s="1">
        <v>87020008793</v>
      </c>
      <c r="B9">
        <v>270687852.08062959</v>
      </c>
      <c r="C9">
        <v>0</v>
      </c>
      <c r="D9">
        <v>10827514.083225191</v>
      </c>
      <c r="E9">
        <v>0</v>
      </c>
      <c r="F9">
        <v>281515366.16385478</v>
      </c>
      <c r="G9" t="s">
        <v>12</v>
      </c>
      <c r="H9">
        <v>4</v>
      </c>
      <c r="I9">
        <v>4</v>
      </c>
      <c r="J9">
        <v>1750905</v>
      </c>
      <c r="K9">
        <v>0</v>
      </c>
      <c r="M9" s="19">
        <f t="shared" si="0"/>
        <v>4.0000000000000029E-2</v>
      </c>
      <c r="N9" s="20">
        <f t="shared" si="1"/>
        <v>0</v>
      </c>
    </row>
    <row r="10" spans="1:14">
      <c r="A10" s="1">
        <v>87020008794</v>
      </c>
      <c r="B10">
        <v>457464625.03662533</v>
      </c>
      <c r="C10">
        <v>2196278.6541871321</v>
      </c>
      <c r="D10">
        <v>18298585.001465019</v>
      </c>
      <c r="E10">
        <v>87851.146167485262</v>
      </c>
      <c r="F10">
        <v>478047339.83844489</v>
      </c>
      <c r="G10" t="s">
        <v>13</v>
      </c>
      <c r="H10">
        <v>4</v>
      </c>
      <c r="I10">
        <v>4</v>
      </c>
      <c r="J10">
        <v>1750905</v>
      </c>
      <c r="K10">
        <v>11.779404041160131</v>
      </c>
      <c r="M10" s="19">
        <f t="shared" si="0"/>
        <v>4.0000000000000015E-2</v>
      </c>
      <c r="N10" s="20">
        <f t="shared" si="1"/>
        <v>3.9999999999999987E-2</v>
      </c>
    </row>
    <row r="11" spans="1:14">
      <c r="A11" s="1">
        <v>87020008795</v>
      </c>
      <c r="B11">
        <v>1372244616.998502</v>
      </c>
      <c r="C11">
        <v>0</v>
      </c>
      <c r="D11">
        <v>41167338.509955078</v>
      </c>
      <c r="E11">
        <v>0</v>
      </c>
      <c r="F11">
        <v>1413411955.5084579</v>
      </c>
      <c r="G11" t="s">
        <v>13</v>
      </c>
      <c r="H11">
        <v>3</v>
      </c>
      <c r="I11">
        <v>4</v>
      </c>
      <c r="J11">
        <v>5566580.7929999996</v>
      </c>
      <c r="K11">
        <v>0</v>
      </c>
      <c r="M11" s="19">
        <f t="shared" si="0"/>
        <v>3.0000000000000013E-2</v>
      </c>
      <c r="N11" s="20">
        <f t="shared" si="1"/>
        <v>0</v>
      </c>
    </row>
    <row r="12" spans="1:14">
      <c r="A12" s="1">
        <v>87020008796</v>
      </c>
      <c r="B12">
        <v>10268836.764619119</v>
      </c>
      <c r="C12">
        <v>0</v>
      </c>
      <c r="D12">
        <v>410753.47058476479</v>
      </c>
      <c r="E12">
        <v>0</v>
      </c>
      <c r="F12">
        <v>10679590.23520389</v>
      </c>
      <c r="G12" t="s">
        <v>14</v>
      </c>
      <c r="H12">
        <v>4</v>
      </c>
      <c r="I12">
        <v>4</v>
      </c>
      <c r="J12">
        <v>1750905</v>
      </c>
      <c r="K12">
        <v>0</v>
      </c>
      <c r="M12" s="19">
        <f t="shared" si="0"/>
        <v>0.04</v>
      </c>
      <c r="N12" s="20">
        <f t="shared" si="1"/>
        <v>0</v>
      </c>
    </row>
    <row r="13" spans="1:14">
      <c r="A13" s="1">
        <v>87020008797</v>
      </c>
      <c r="B13">
        <v>430247861.24037278</v>
      </c>
      <c r="C13">
        <v>0</v>
      </c>
      <c r="D13">
        <v>17209914.449614909</v>
      </c>
      <c r="E13">
        <v>0</v>
      </c>
      <c r="F13">
        <v>447457775.68998772</v>
      </c>
      <c r="G13" t="s">
        <v>15</v>
      </c>
      <c r="H13">
        <v>4</v>
      </c>
      <c r="I13">
        <v>4</v>
      </c>
      <c r="J13">
        <v>1750905</v>
      </c>
      <c r="K13">
        <v>0</v>
      </c>
      <c r="M13" s="19">
        <f t="shared" si="0"/>
        <v>3.9999999999999994E-2</v>
      </c>
      <c r="N13" s="20">
        <f t="shared" si="1"/>
        <v>0</v>
      </c>
    </row>
    <row r="14" spans="1:14">
      <c r="A14" s="1">
        <v>87020008798</v>
      </c>
      <c r="B14">
        <v>353335974.57567722</v>
      </c>
      <c r="C14">
        <v>4082859.160189901</v>
      </c>
      <c r="D14">
        <v>14133438.983027089</v>
      </c>
      <c r="E14">
        <v>163314.3664075961</v>
      </c>
      <c r="F14">
        <v>371715587.08530182</v>
      </c>
      <c r="G14" t="s">
        <v>16</v>
      </c>
      <c r="H14">
        <v>4</v>
      </c>
      <c r="I14">
        <v>4</v>
      </c>
      <c r="J14">
        <v>1750905</v>
      </c>
      <c r="K14">
        <v>94.613819104075716</v>
      </c>
      <c r="M14" s="19">
        <f t="shared" si="0"/>
        <v>0.04</v>
      </c>
      <c r="N14" s="20">
        <f t="shared" si="1"/>
        <v>4.0000000000000015E-2</v>
      </c>
    </row>
    <row r="15" spans="1:14">
      <c r="A15" s="1">
        <v>87020008799</v>
      </c>
      <c r="B15">
        <v>414449579.04414141</v>
      </c>
      <c r="C15">
        <v>3054835.1447996348</v>
      </c>
      <c r="D15">
        <v>16577983.16176565</v>
      </c>
      <c r="E15">
        <v>122193.40579198539</v>
      </c>
      <c r="F15">
        <v>434204590.75649858</v>
      </c>
      <c r="G15" t="s">
        <v>16</v>
      </c>
      <c r="H15">
        <v>4</v>
      </c>
      <c r="I15">
        <v>4</v>
      </c>
      <c r="J15">
        <v>1750905</v>
      </c>
      <c r="K15">
        <v>28.385458813008938</v>
      </c>
      <c r="M15" s="19">
        <f t="shared" si="0"/>
        <v>3.9999999999999987E-2</v>
      </c>
      <c r="N15" s="20">
        <f t="shared" si="1"/>
        <v>0.04</v>
      </c>
    </row>
    <row r="16" spans="1:14">
      <c r="A16" s="1">
        <v>87020008800</v>
      </c>
      <c r="B16">
        <v>501375581.99467361</v>
      </c>
      <c r="C16">
        <v>3362617.837022454</v>
      </c>
      <c r="D16">
        <v>20055023.279786941</v>
      </c>
      <c r="E16">
        <v>134504.71348089821</v>
      </c>
      <c r="F16">
        <v>524927727.82496393</v>
      </c>
      <c r="G16" t="s">
        <v>16</v>
      </c>
      <c r="H16">
        <v>4</v>
      </c>
      <c r="I16">
        <v>4</v>
      </c>
      <c r="J16">
        <v>1750905</v>
      </c>
      <c r="K16">
        <v>50.411170023702446</v>
      </c>
      <c r="M16" s="19">
        <f t="shared" si="0"/>
        <v>3.9999999999999994E-2</v>
      </c>
      <c r="N16" s="20">
        <f t="shared" si="1"/>
        <v>4.0000000000000015E-2</v>
      </c>
    </row>
    <row r="17" spans="1:14">
      <c r="A17" s="1">
        <v>87020008801</v>
      </c>
      <c r="B17">
        <v>340227552.64885747</v>
      </c>
      <c r="C17">
        <v>0</v>
      </c>
      <c r="D17">
        <v>13609102.105954301</v>
      </c>
      <c r="E17">
        <v>0</v>
      </c>
      <c r="F17">
        <v>353836654.75481182</v>
      </c>
      <c r="G17" t="s">
        <v>16</v>
      </c>
      <c r="H17">
        <v>4</v>
      </c>
      <c r="I17">
        <v>4</v>
      </c>
      <c r="J17">
        <v>1750905</v>
      </c>
      <c r="K17">
        <v>0</v>
      </c>
      <c r="M17" s="19">
        <f t="shared" si="0"/>
        <v>4.0000000000000008E-2</v>
      </c>
      <c r="N17" s="20">
        <f t="shared" si="1"/>
        <v>0</v>
      </c>
    </row>
    <row r="18" spans="1:14">
      <c r="A18" s="1">
        <v>87020008803</v>
      </c>
      <c r="B18">
        <v>239512827.77526179</v>
      </c>
      <c r="C18">
        <v>0</v>
      </c>
      <c r="D18">
        <v>7185384.8332578558</v>
      </c>
      <c r="E18">
        <v>0</v>
      </c>
      <c r="F18">
        <v>246698212.6085197</v>
      </c>
      <c r="G18" t="s">
        <v>16</v>
      </c>
      <c r="H18">
        <v>3</v>
      </c>
      <c r="I18">
        <v>4</v>
      </c>
      <c r="J18">
        <v>1750905</v>
      </c>
      <c r="K18">
        <v>0</v>
      </c>
      <c r="M18" s="19">
        <f t="shared" si="0"/>
        <v>3.0000000000000009E-2</v>
      </c>
      <c r="N18" s="20">
        <f t="shared" si="1"/>
        <v>0</v>
      </c>
    </row>
    <row r="19" spans="1:14">
      <c r="A19" s="1">
        <v>87020008804</v>
      </c>
      <c r="B19">
        <v>262619068.58088931</v>
      </c>
      <c r="C19">
        <v>0</v>
      </c>
      <c r="D19">
        <v>10504762.743235569</v>
      </c>
      <c r="E19">
        <v>0</v>
      </c>
      <c r="F19">
        <v>273123831.32412487</v>
      </c>
      <c r="G19" t="s">
        <v>17</v>
      </c>
      <c r="H19">
        <v>4</v>
      </c>
      <c r="I19">
        <v>4</v>
      </c>
      <c r="J19">
        <v>1750905</v>
      </c>
      <c r="K19">
        <v>0</v>
      </c>
      <c r="M19" s="19">
        <f t="shared" si="0"/>
        <v>3.9999999999999987E-2</v>
      </c>
      <c r="N19" s="20">
        <f t="shared" si="1"/>
        <v>0</v>
      </c>
    </row>
    <row r="20" spans="1:14">
      <c r="A20" s="1">
        <v>87020008805</v>
      </c>
      <c r="B20">
        <v>359610825.01812643</v>
      </c>
      <c r="C20">
        <v>0</v>
      </c>
      <c r="D20">
        <v>10788324.75054379</v>
      </c>
      <c r="E20">
        <v>0</v>
      </c>
      <c r="F20">
        <v>370399149.76867008</v>
      </c>
      <c r="G20" t="s">
        <v>17</v>
      </c>
      <c r="H20">
        <v>3</v>
      </c>
      <c r="I20">
        <v>4</v>
      </c>
      <c r="J20">
        <v>2162146.628</v>
      </c>
      <c r="K20">
        <v>0</v>
      </c>
      <c r="M20" s="19">
        <f t="shared" si="0"/>
        <v>2.9999999999999992E-2</v>
      </c>
      <c r="N20" s="20">
        <f t="shared" si="1"/>
        <v>0</v>
      </c>
    </row>
    <row r="21" spans="1:14">
      <c r="A21" s="1">
        <v>87020008806</v>
      </c>
      <c r="B21">
        <v>388375671.11741799</v>
      </c>
      <c r="C21">
        <v>0</v>
      </c>
      <c r="D21">
        <v>15535026.844696719</v>
      </c>
      <c r="E21">
        <v>0</v>
      </c>
      <c r="F21">
        <v>403910697.96211469</v>
      </c>
      <c r="G21" t="s">
        <v>17</v>
      </c>
      <c r="H21">
        <v>4</v>
      </c>
      <c r="I21">
        <v>4</v>
      </c>
      <c r="J21">
        <v>1750905</v>
      </c>
      <c r="K21">
        <v>0</v>
      </c>
      <c r="M21" s="19">
        <f t="shared" si="0"/>
        <v>0.04</v>
      </c>
      <c r="N21" s="20">
        <f t="shared" si="1"/>
        <v>0</v>
      </c>
    </row>
    <row r="22" spans="1:14">
      <c r="A22" s="1">
        <v>87020008807</v>
      </c>
      <c r="B22">
        <v>323977399.79827732</v>
      </c>
      <c r="C22">
        <v>0</v>
      </c>
      <c r="D22">
        <v>12959095.99193109</v>
      </c>
      <c r="E22">
        <v>0</v>
      </c>
      <c r="F22">
        <v>336936495.79020828</v>
      </c>
      <c r="G22" t="s">
        <v>17</v>
      </c>
      <c r="H22">
        <v>4</v>
      </c>
      <c r="I22">
        <v>4</v>
      </c>
      <c r="J22">
        <v>1750905</v>
      </c>
      <c r="K22">
        <v>0</v>
      </c>
      <c r="M22" s="19">
        <f t="shared" si="0"/>
        <v>3.9999999999999994E-2</v>
      </c>
      <c r="N22" s="20">
        <f t="shared" si="1"/>
        <v>0</v>
      </c>
    </row>
    <row r="23" spans="1:14">
      <c r="A23" s="1">
        <v>87020008808</v>
      </c>
      <c r="B23">
        <v>165595853.06083119</v>
      </c>
      <c r="C23">
        <v>0</v>
      </c>
      <c r="D23">
        <v>6623834.1224332452</v>
      </c>
      <c r="E23">
        <v>0</v>
      </c>
      <c r="F23">
        <v>172219687.1832644</v>
      </c>
      <c r="G23" t="s">
        <v>18</v>
      </c>
      <c r="H23">
        <v>4</v>
      </c>
      <c r="I23">
        <v>4</v>
      </c>
      <c r="J23">
        <v>1750905</v>
      </c>
      <c r="K23">
        <v>0</v>
      </c>
      <c r="M23" s="19">
        <f t="shared" si="0"/>
        <v>3.9999999999999987E-2</v>
      </c>
      <c r="N23" s="20">
        <f t="shared" si="1"/>
        <v>0</v>
      </c>
    </row>
    <row r="24" spans="1:14">
      <c r="A24" s="1">
        <v>87020008809</v>
      </c>
      <c r="B24">
        <v>383261550.29178828</v>
      </c>
      <c r="C24">
        <v>0</v>
      </c>
      <c r="D24">
        <v>15330462.01167153</v>
      </c>
      <c r="E24">
        <v>0</v>
      </c>
      <c r="F24">
        <v>398592012.30345982</v>
      </c>
      <c r="G24" t="s">
        <v>19</v>
      </c>
      <c r="H24">
        <v>4</v>
      </c>
      <c r="I24">
        <v>4</v>
      </c>
      <c r="J24">
        <v>1750905</v>
      </c>
      <c r="K24">
        <v>0</v>
      </c>
      <c r="M24" s="19">
        <f t="shared" si="0"/>
        <v>3.9999999999999994E-2</v>
      </c>
      <c r="N24" s="20">
        <f t="shared" si="1"/>
        <v>0</v>
      </c>
    </row>
    <row r="25" spans="1:14">
      <c r="A25" s="1">
        <v>87020008810</v>
      </c>
      <c r="B25">
        <v>348675869.44707471</v>
      </c>
      <c r="C25">
        <v>0</v>
      </c>
      <c r="D25">
        <v>13947034.777882989</v>
      </c>
      <c r="E25">
        <v>0</v>
      </c>
      <c r="F25">
        <v>362622904.2249577</v>
      </c>
      <c r="G25" t="s">
        <v>19</v>
      </c>
      <c r="H25">
        <v>4</v>
      </c>
      <c r="I25">
        <v>4</v>
      </c>
      <c r="J25">
        <v>1750905</v>
      </c>
      <c r="K25">
        <v>0</v>
      </c>
      <c r="M25" s="19">
        <f t="shared" si="0"/>
        <v>0.04</v>
      </c>
      <c r="N25" s="20">
        <f t="shared" si="1"/>
        <v>0</v>
      </c>
    </row>
    <row r="26" spans="1:14">
      <c r="A26" s="1">
        <v>87020008811</v>
      </c>
      <c r="B26">
        <v>445826567.30275851</v>
      </c>
      <c r="C26">
        <v>4267287.9412100445</v>
      </c>
      <c r="D26">
        <v>17833062.692110341</v>
      </c>
      <c r="E26">
        <v>170691.51764840179</v>
      </c>
      <c r="F26">
        <v>468097609.4537273</v>
      </c>
      <c r="G26" t="s">
        <v>20</v>
      </c>
      <c r="H26">
        <v>4</v>
      </c>
      <c r="I26">
        <v>4</v>
      </c>
      <c r="J26">
        <v>1750905</v>
      </c>
      <c r="K26">
        <v>111.51052954712929</v>
      </c>
      <c r="M26" s="19">
        <f t="shared" si="0"/>
        <v>0.04</v>
      </c>
      <c r="N26" s="20">
        <f t="shared" si="1"/>
        <v>0.04</v>
      </c>
    </row>
    <row r="27" spans="1:14">
      <c r="A27" s="1">
        <v>87020008812</v>
      </c>
      <c r="B27">
        <v>288499744.08663601</v>
      </c>
      <c r="C27">
        <v>4560910.7167891106</v>
      </c>
      <c r="D27">
        <v>11539989.76346544</v>
      </c>
      <c r="E27">
        <v>182436.42867156441</v>
      </c>
      <c r="F27">
        <v>304783080.99556208</v>
      </c>
      <c r="G27" t="s">
        <v>20</v>
      </c>
      <c r="H27">
        <v>4</v>
      </c>
      <c r="I27">
        <v>4</v>
      </c>
      <c r="J27">
        <v>1750905</v>
      </c>
      <c r="K27">
        <v>145.01259346621501</v>
      </c>
      <c r="M27" s="19">
        <f t="shared" si="0"/>
        <v>0.04</v>
      </c>
      <c r="N27" s="20">
        <f t="shared" si="1"/>
        <v>0.04</v>
      </c>
    </row>
    <row r="28" spans="1:14">
      <c r="A28" s="1">
        <v>87020008813</v>
      </c>
      <c r="B28">
        <v>437050044.80271012</v>
      </c>
      <c r="C28">
        <v>0</v>
      </c>
      <c r="D28">
        <v>17482001.792108409</v>
      </c>
      <c r="E28">
        <v>0</v>
      </c>
      <c r="F28">
        <v>454532046.59481847</v>
      </c>
      <c r="G28" t="s">
        <v>21</v>
      </c>
      <c r="H28">
        <v>4</v>
      </c>
      <c r="I28">
        <v>4</v>
      </c>
      <c r="J28">
        <v>1750905</v>
      </c>
      <c r="K28">
        <v>0</v>
      </c>
      <c r="M28" s="19">
        <f t="shared" si="0"/>
        <v>4.0000000000000008E-2</v>
      </c>
      <c r="N28" s="20">
        <f t="shared" si="1"/>
        <v>0</v>
      </c>
    </row>
    <row r="29" spans="1:14">
      <c r="A29" s="1">
        <v>87020008814</v>
      </c>
      <c r="B29">
        <v>358585633.93382013</v>
      </c>
      <c r="C29">
        <v>0</v>
      </c>
      <c r="D29">
        <v>14343425.357352801</v>
      </c>
      <c r="E29">
        <v>0</v>
      </c>
      <c r="F29">
        <v>372929059.29117292</v>
      </c>
      <c r="G29" t="s">
        <v>22</v>
      </c>
      <c r="H29">
        <v>4</v>
      </c>
      <c r="I29">
        <v>4</v>
      </c>
      <c r="J29">
        <v>1750905</v>
      </c>
      <c r="K29">
        <v>0</v>
      </c>
      <c r="M29" s="19">
        <f t="shared" si="0"/>
        <v>3.9999999999999987E-2</v>
      </c>
      <c r="N29" s="20">
        <f t="shared" si="1"/>
        <v>0</v>
      </c>
    </row>
    <row r="30" spans="1:14">
      <c r="A30" s="1">
        <v>87020008815</v>
      </c>
      <c r="B30">
        <v>420395225.59076041</v>
      </c>
      <c r="C30">
        <v>2714255.8649059469</v>
      </c>
      <c r="D30">
        <v>16815809.023630422</v>
      </c>
      <c r="E30">
        <v>108570.2345962379</v>
      </c>
      <c r="F30">
        <v>440033860.713893</v>
      </c>
      <c r="G30" t="s">
        <v>22</v>
      </c>
      <c r="H30">
        <v>4</v>
      </c>
      <c r="I30">
        <v>4</v>
      </c>
      <c r="J30">
        <v>1750905</v>
      </c>
      <c r="K30">
        <v>30.31662669281382</v>
      </c>
      <c r="M30" s="19">
        <f t="shared" si="0"/>
        <v>4.0000000000000015E-2</v>
      </c>
      <c r="N30" s="20">
        <f t="shared" si="1"/>
        <v>4.0000000000000008E-2</v>
      </c>
    </row>
    <row r="31" spans="1:14">
      <c r="A31" s="1">
        <v>87020008816</v>
      </c>
      <c r="B31">
        <v>437050044.80271012</v>
      </c>
      <c r="C31">
        <v>0</v>
      </c>
      <c r="D31">
        <v>8741000.8960542027</v>
      </c>
      <c r="E31">
        <v>0</v>
      </c>
      <c r="F31">
        <v>445791045.69876432</v>
      </c>
      <c r="G31" t="s">
        <v>23</v>
      </c>
      <c r="H31">
        <v>2</v>
      </c>
      <c r="I31">
        <v>4</v>
      </c>
      <c r="J31">
        <v>1750905</v>
      </c>
      <c r="K31">
        <v>0</v>
      </c>
      <c r="M31" s="19">
        <f t="shared" si="0"/>
        <v>0.02</v>
      </c>
      <c r="N31" s="20">
        <f t="shared" si="1"/>
        <v>0</v>
      </c>
    </row>
    <row r="32" spans="1:14">
      <c r="A32" s="1">
        <v>87020008817</v>
      </c>
      <c r="B32">
        <v>488755859.9163419</v>
      </c>
      <c r="C32">
        <v>0</v>
      </c>
      <c r="D32">
        <v>19550234.396653678</v>
      </c>
      <c r="E32">
        <v>0</v>
      </c>
      <c r="F32">
        <v>508306094.31299561</v>
      </c>
      <c r="G32" t="s">
        <v>24</v>
      </c>
      <c r="H32">
        <v>4</v>
      </c>
      <c r="I32">
        <v>4</v>
      </c>
      <c r="J32">
        <v>1750905</v>
      </c>
      <c r="K32">
        <v>0</v>
      </c>
      <c r="M32" s="19">
        <f t="shared" si="0"/>
        <v>4.0000000000000008E-2</v>
      </c>
      <c r="N32" s="20">
        <f t="shared" si="1"/>
        <v>0</v>
      </c>
    </row>
    <row r="33" spans="1:14">
      <c r="A33" s="1">
        <v>87020008818</v>
      </c>
      <c r="B33">
        <v>498197630.40625799</v>
      </c>
      <c r="C33">
        <v>0</v>
      </c>
      <c r="D33">
        <v>19927905.216250319</v>
      </c>
      <c r="E33">
        <v>0</v>
      </c>
      <c r="F33">
        <v>518125535.62250829</v>
      </c>
      <c r="G33" t="s">
        <v>24</v>
      </c>
      <c r="H33">
        <v>4</v>
      </c>
      <c r="I33">
        <v>4</v>
      </c>
      <c r="J33">
        <v>1750905</v>
      </c>
      <c r="K33">
        <v>0</v>
      </c>
      <c r="M33" s="19">
        <f t="shared" si="0"/>
        <v>0.04</v>
      </c>
      <c r="N33" s="20">
        <f t="shared" si="1"/>
        <v>0</v>
      </c>
    </row>
    <row r="34" spans="1:14">
      <c r="A34" s="1">
        <v>87020008819</v>
      </c>
      <c r="B34">
        <v>290562501.7406199</v>
      </c>
      <c r="C34">
        <v>0</v>
      </c>
      <c r="D34">
        <v>8716875.0522185955</v>
      </c>
      <c r="E34">
        <v>0</v>
      </c>
      <c r="F34">
        <v>299279376.79283851</v>
      </c>
      <c r="G34" t="s">
        <v>25</v>
      </c>
      <c r="H34">
        <v>3</v>
      </c>
      <c r="I34">
        <v>4</v>
      </c>
      <c r="J34">
        <v>1750905</v>
      </c>
      <c r="K34">
        <v>0</v>
      </c>
      <c r="M34" s="19">
        <f t="shared" si="0"/>
        <v>2.9999999999999995E-2</v>
      </c>
      <c r="N34" s="20">
        <f t="shared" si="1"/>
        <v>0</v>
      </c>
    </row>
    <row r="36" spans="1:14">
      <c r="B36" s="15">
        <v>-420395225.09346354</v>
      </c>
      <c r="C36" s="17">
        <v>-2714255.5171403494</v>
      </c>
      <c r="D36" s="13">
        <v>-17809311.382853553</v>
      </c>
      <c r="E36" s="14">
        <v>-108570.22068561384</v>
      </c>
    </row>
    <row r="37" spans="1:14">
      <c r="B37" s="18">
        <f>+B30+B36</f>
        <v>0.49729686975479126</v>
      </c>
      <c r="C37" s="18">
        <f t="shared" ref="C37:E37" si="2">+C30+C36</f>
        <v>0.34776559751480818</v>
      </c>
      <c r="D37" s="18">
        <f t="shared" si="2"/>
        <v>-993502.35922313109</v>
      </c>
      <c r="E37" s="18">
        <f t="shared" si="2"/>
        <v>1.3910624067648314E-2</v>
      </c>
    </row>
    <row r="39" spans="1:14">
      <c r="D39" s="16">
        <f>+D36/B30</f>
        <v>-4.2363257950484609E-2</v>
      </c>
    </row>
    <row r="41" spans="1:14">
      <c r="B41">
        <v>457464624.93278629</v>
      </c>
      <c r="C41">
        <v>2196274.2637832449</v>
      </c>
      <c r="D41">
        <v>19250508.437403496</v>
      </c>
    </row>
    <row r="44" spans="1:14">
      <c r="B44">
        <f>D46</f>
        <v>0</v>
      </c>
    </row>
    <row r="46" spans="1:14">
      <c r="B46">
        <f>SUBTOTAL(9,D51)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4"/>
  <sheetViews>
    <sheetView workbookViewId="0">
      <selection activeCell="F10" sqref="F10"/>
    </sheetView>
  </sheetViews>
  <sheetFormatPr baseColWidth="10" defaultColWidth="8.7265625" defaultRowHeight="14.5"/>
  <cols>
    <col min="1" max="1" width="11.81640625" bestFit="1" customWidth="1"/>
    <col min="2" max="2" width="12.26953125" bestFit="1" customWidth="1"/>
    <col min="3" max="3" width="15" bestFit="1" customWidth="1"/>
    <col min="4" max="4" width="18.6328125" bestFit="1" customWidth="1"/>
    <col min="5" max="5" width="11.81640625" bestFit="1" customWidth="1"/>
    <col min="6" max="6" width="12.08984375" bestFit="1" customWidth="1"/>
    <col min="7" max="7" width="17.90625" bestFit="1" customWidth="1"/>
    <col min="8" max="8" width="7.1796875" bestFit="1" customWidth="1"/>
    <col min="9" max="9" width="18.54296875" bestFit="1" customWidth="1"/>
    <col min="10" max="10" width="19.1796875" bestFit="1" customWidth="1"/>
    <col min="11" max="11" width="14.3632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s="1">
        <v>87020008786</v>
      </c>
      <c r="B2">
        <v>298651648.48914212</v>
      </c>
      <c r="C2">
        <v>0</v>
      </c>
      <c r="D2">
        <v>11946065.939565681</v>
      </c>
      <c r="E2">
        <v>0</v>
      </c>
      <c r="F2">
        <v>310597714.42870778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hidden="1">
      <c r="A3" s="1">
        <v>87020008787</v>
      </c>
      <c r="B3">
        <v>510265771.62849009</v>
      </c>
      <c r="C3">
        <v>3844444.995710473</v>
      </c>
      <c r="D3">
        <v>20410630.865139611</v>
      </c>
      <c r="E3">
        <v>153777.79982841891</v>
      </c>
      <c r="F3">
        <v>534674625.28916872</v>
      </c>
      <c r="G3" t="s">
        <v>11</v>
      </c>
      <c r="H3">
        <v>4</v>
      </c>
      <c r="I3">
        <v>4</v>
      </c>
      <c r="J3">
        <v>1750905</v>
      </c>
      <c r="K3">
        <v>40.534013218449651</v>
      </c>
    </row>
    <row r="4" spans="1:11" hidden="1">
      <c r="A4" s="1">
        <v>87020008788</v>
      </c>
      <c r="B4">
        <v>441986276.30077457</v>
      </c>
      <c r="C4">
        <v>0</v>
      </c>
      <c r="D4">
        <v>17679451.052030992</v>
      </c>
      <c r="E4">
        <v>0</v>
      </c>
      <c r="F4">
        <v>459665727.35280561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hidden="1">
      <c r="A5" s="1">
        <v>87020008789</v>
      </c>
      <c r="B5">
        <v>412148858.60332918</v>
      </c>
      <c r="C5">
        <v>0</v>
      </c>
      <c r="D5">
        <v>16485954.34413317</v>
      </c>
      <c r="E5">
        <v>0</v>
      </c>
      <c r="F5">
        <v>428634812.94746238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hidden="1">
      <c r="A6" s="1">
        <v>87020008790</v>
      </c>
      <c r="B6">
        <v>332153707.01389712</v>
      </c>
      <c r="C6">
        <v>3583377.230692348</v>
      </c>
      <c r="D6">
        <v>13286148.280555891</v>
      </c>
      <c r="E6">
        <v>143335.08922769391</v>
      </c>
      <c r="F6">
        <v>349166567.61437303</v>
      </c>
      <c r="G6" t="s">
        <v>11</v>
      </c>
      <c r="H6">
        <v>4</v>
      </c>
      <c r="I6">
        <v>4</v>
      </c>
      <c r="J6">
        <v>1750905</v>
      </c>
      <c r="K6">
        <v>32.550766933090657</v>
      </c>
    </row>
    <row r="7" spans="1:11" hidden="1">
      <c r="A7" s="1">
        <v>87020008791</v>
      </c>
      <c r="B7">
        <v>447772031.87881202</v>
      </c>
      <c r="C7">
        <v>0</v>
      </c>
      <c r="D7">
        <v>17910881.275152478</v>
      </c>
      <c r="E7">
        <v>0</v>
      </c>
      <c r="F7">
        <v>465682913.15396452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hidden="1">
      <c r="A8" s="1">
        <v>87020008792</v>
      </c>
      <c r="B8">
        <v>278353441.98289663</v>
      </c>
      <c r="C8">
        <v>0</v>
      </c>
      <c r="D8">
        <v>11134137.679315871</v>
      </c>
      <c r="E8">
        <v>0</v>
      </c>
      <c r="F8">
        <v>289487579.66221249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hidden="1">
      <c r="A9" s="1">
        <v>87020008793</v>
      </c>
      <c r="B9">
        <v>252322084.72235531</v>
      </c>
      <c r="C9">
        <v>0</v>
      </c>
      <c r="D9">
        <v>10092883.38889421</v>
      </c>
      <c r="E9">
        <v>0</v>
      </c>
      <c r="F9">
        <v>262414968.11124951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>
      <c r="A10" s="1">
        <v>87020008794</v>
      </c>
      <c r="B10">
        <v>389269806.63021308</v>
      </c>
      <c r="C10">
        <v>3151685.4174201149</v>
      </c>
      <c r="D10">
        <v>15570792.26520852</v>
      </c>
      <c r="E10">
        <v>126067.4166968046</v>
      </c>
      <c r="F10">
        <v>408118351.7295385</v>
      </c>
      <c r="G10" t="s">
        <v>13</v>
      </c>
      <c r="H10">
        <v>4</v>
      </c>
      <c r="I10">
        <v>4</v>
      </c>
      <c r="J10">
        <v>1750905</v>
      </c>
      <c r="K10">
        <v>11.779404041160131</v>
      </c>
    </row>
    <row r="11" spans="1:11" hidden="1">
      <c r="A11" s="1">
        <v>87020008795</v>
      </c>
      <c r="B11">
        <v>1317795325.3967061</v>
      </c>
      <c r="C11">
        <v>0</v>
      </c>
      <c r="D11">
        <v>39533859.761901192</v>
      </c>
      <c r="E11">
        <v>0</v>
      </c>
      <c r="F11">
        <v>1357329185.158607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hidden="1">
      <c r="A12" s="1">
        <v>87020008796</v>
      </c>
      <c r="B12">
        <v>10268578.03268704</v>
      </c>
      <c r="C12">
        <v>0</v>
      </c>
      <c r="D12">
        <v>410743.1213074816</v>
      </c>
      <c r="E12">
        <v>0</v>
      </c>
      <c r="F12">
        <v>10679321.153994519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hidden="1">
      <c r="A13" s="1">
        <v>87020008797</v>
      </c>
      <c r="B13">
        <v>403623849.65325332</v>
      </c>
      <c r="C13">
        <v>0</v>
      </c>
      <c r="D13">
        <v>16144953.98613013</v>
      </c>
      <c r="E13">
        <v>0</v>
      </c>
      <c r="F13">
        <v>419768803.63938338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hidden="1">
      <c r="A14" s="1">
        <v>87020008798</v>
      </c>
      <c r="B14">
        <v>318257647.01626599</v>
      </c>
      <c r="C14">
        <v>4706640.2983651198</v>
      </c>
      <c r="D14">
        <v>12730305.88065064</v>
      </c>
      <c r="E14">
        <v>188265.61193460479</v>
      </c>
      <c r="F14">
        <v>335882858.80721641</v>
      </c>
      <c r="G14" t="s">
        <v>16</v>
      </c>
      <c r="H14">
        <v>4</v>
      </c>
      <c r="I14">
        <v>4</v>
      </c>
      <c r="J14">
        <v>1750905</v>
      </c>
      <c r="K14">
        <v>94.613819104075716</v>
      </c>
    </row>
    <row r="15" spans="1:11" hidden="1">
      <c r="A15" s="1">
        <v>87020008799</v>
      </c>
      <c r="B15">
        <v>364374897.110156</v>
      </c>
      <c r="C15">
        <v>3996373.1926496951</v>
      </c>
      <c r="D15">
        <v>14574995.884406241</v>
      </c>
      <c r="E15">
        <v>159854.92770598779</v>
      </c>
      <c r="F15">
        <v>383106121.11491799</v>
      </c>
      <c r="G15" t="s">
        <v>16</v>
      </c>
      <c r="H15">
        <v>4</v>
      </c>
      <c r="I15">
        <v>4</v>
      </c>
      <c r="J15">
        <v>1750905</v>
      </c>
      <c r="K15">
        <v>28.385458813008938</v>
      </c>
    </row>
    <row r="16" spans="1:11" hidden="1">
      <c r="A16" s="1">
        <v>87020008800</v>
      </c>
      <c r="B16">
        <v>478286615.04811382</v>
      </c>
      <c r="C16">
        <v>4081295.1681310982</v>
      </c>
      <c r="D16">
        <v>19131464.601924561</v>
      </c>
      <c r="E16">
        <v>163251.80672524389</v>
      </c>
      <c r="F16">
        <v>501662626.62489468</v>
      </c>
      <c r="G16" t="s">
        <v>16</v>
      </c>
      <c r="H16">
        <v>4</v>
      </c>
      <c r="I16">
        <v>4</v>
      </c>
      <c r="J16">
        <v>1750905</v>
      </c>
      <c r="K16">
        <v>50.411170023702446</v>
      </c>
    </row>
    <row r="17" spans="1:11" hidden="1">
      <c r="A17" s="1">
        <v>87020008801</v>
      </c>
      <c r="B17">
        <v>316506091.89820099</v>
      </c>
      <c r="C17">
        <v>0</v>
      </c>
      <c r="D17">
        <v>12660243.675928039</v>
      </c>
      <c r="E17">
        <v>0</v>
      </c>
      <c r="F17">
        <v>329166335.57412899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hidden="1">
      <c r="A18" s="1">
        <v>87020008803</v>
      </c>
      <c r="B18">
        <v>223965826.2024588</v>
      </c>
      <c r="C18">
        <v>0</v>
      </c>
      <c r="D18">
        <v>6718974.786073762</v>
      </c>
      <c r="E18">
        <v>0</v>
      </c>
      <c r="F18">
        <v>230684800.98853251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hidden="1">
      <c r="A19" s="1">
        <v>87020008804</v>
      </c>
      <c r="B19">
        <v>248701090.7285291</v>
      </c>
      <c r="C19">
        <v>0</v>
      </c>
      <c r="D19">
        <v>9948043.6291411631</v>
      </c>
      <c r="E19">
        <v>0</v>
      </c>
      <c r="F19">
        <v>258649134.35767019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hidden="1">
      <c r="A20" s="1">
        <v>87020008805</v>
      </c>
      <c r="B20">
        <v>334743115.31541908</v>
      </c>
      <c r="C20">
        <v>0</v>
      </c>
      <c r="D20">
        <v>10042293.45946257</v>
      </c>
      <c r="E20">
        <v>0</v>
      </c>
      <c r="F20">
        <v>344785408.77488172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hidden="1">
      <c r="A21" s="1">
        <v>87020008806</v>
      </c>
      <c r="B21">
        <v>370557789.81326962</v>
      </c>
      <c r="C21">
        <v>0</v>
      </c>
      <c r="D21">
        <v>14822311.59253078</v>
      </c>
      <c r="E21">
        <v>0</v>
      </c>
      <c r="F21">
        <v>385380101.40580028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hidden="1">
      <c r="A22" s="1">
        <v>87020008807</v>
      </c>
      <c r="B22">
        <v>301448966.68745482</v>
      </c>
      <c r="C22">
        <v>0</v>
      </c>
      <c r="D22">
        <v>12057958.66749819</v>
      </c>
      <c r="E22">
        <v>0</v>
      </c>
      <c r="F22">
        <v>313506925.35495299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hidden="1">
      <c r="A23" s="1">
        <v>87020008808</v>
      </c>
      <c r="B23">
        <v>159825085.42816439</v>
      </c>
      <c r="C23">
        <v>0</v>
      </c>
      <c r="D23">
        <v>6393003.4171265773</v>
      </c>
      <c r="E23">
        <v>0</v>
      </c>
      <c r="F23">
        <v>166218088.84529099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hidden="1">
      <c r="A24" s="1">
        <v>87020008809</v>
      </c>
      <c r="B24">
        <v>364162820.08697492</v>
      </c>
      <c r="C24">
        <v>0</v>
      </c>
      <c r="D24">
        <v>14566512.80347899</v>
      </c>
      <c r="E24">
        <v>0</v>
      </c>
      <c r="F24">
        <v>378729332.89045388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hidden="1">
      <c r="A25" s="1">
        <v>87020008810</v>
      </c>
      <c r="B25">
        <v>324943678.70652157</v>
      </c>
      <c r="C25">
        <v>0</v>
      </c>
      <c r="D25">
        <v>12997747.14826086</v>
      </c>
      <c r="E25">
        <v>0</v>
      </c>
      <c r="F25">
        <v>337941425.85478252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hidden="1">
      <c r="A26" s="1">
        <v>87020008811</v>
      </c>
      <c r="B26">
        <v>420741542.63848561</v>
      </c>
      <c r="C26">
        <v>4862727.1689956561</v>
      </c>
      <c r="D26">
        <v>16829661.70553942</v>
      </c>
      <c r="E26">
        <v>194509.08675982631</v>
      </c>
      <c r="F26">
        <v>442628440.59978038</v>
      </c>
      <c r="G26" t="s">
        <v>20</v>
      </c>
      <c r="H26">
        <v>4</v>
      </c>
      <c r="I26">
        <v>4</v>
      </c>
      <c r="J26">
        <v>1750905</v>
      </c>
      <c r="K26">
        <v>111.51052954712929</v>
      </c>
    </row>
    <row r="27" spans="1:11" hidden="1">
      <c r="A27" s="1">
        <v>87020008812</v>
      </c>
      <c r="B27">
        <v>249380047.81912491</v>
      </c>
      <c r="C27">
        <v>5108273.6556991516</v>
      </c>
      <c r="D27">
        <v>9975201.9127649982</v>
      </c>
      <c r="E27">
        <v>204330.94622796611</v>
      </c>
      <c r="F27">
        <v>264667854.33381709</v>
      </c>
      <c r="G27" t="s">
        <v>20</v>
      </c>
      <c r="H27">
        <v>4</v>
      </c>
      <c r="I27">
        <v>4</v>
      </c>
      <c r="J27">
        <v>1750905</v>
      </c>
      <c r="K27">
        <v>145.01259346621501</v>
      </c>
    </row>
    <row r="28" spans="1:11" hidden="1">
      <c r="A28" s="1">
        <v>87020008813</v>
      </c>
      <c r="B28">
        <v>410472365.71027333</v>
      </c>
      <c r="C28">
        <v>0</v>
      </c>
      <c r="D28">
        <v>16418894.62841093</v>
      </c>
      <c r="E28">
        <v>0</v>
      </c>
      <c r="F28">
        <v>426891260.3386842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hidden="1">
      <c r="A29" s="1">
        <v>87020008814</v>
      </c>
      <c r="B29">
        <v>333828926.1939103</v>
      </c>
      <c r="C29">
        <v>0</v>
      </c>
      <c r="D29">
        <v>13353157.047756409</v>
      </c>
      <c r="E29">
        <v>0</v>
      </c>
      <c r="F29">
        <v>347182083.24166667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hidden="1">
      <c r="A30" s="1">
        <v>87020008815</v>
      </c>
      <c r="B30">
        <v>365021125.33333808</v>
      </c>
      <c r="C30">
        <v>3489480.2916689701</v>
      </c>
      <c r="D30">
        <v>14600845.01333352</v>
      </c>
      <c r="E30">
        <v>139579.21166675881</v>
      </c>
      <c r="F30">
        <v>383251029.8500073</v>
      </c>
      <c r="G30" t="s">
        <v>22</v>
      </c>
      <c r="H30">
        <v>4</v>
      </c>
      <c r="I30">
        <v>4</v>
      </c>
      <c r="J30">
        <v>1750905</v>
      </c>
      <c r="K30">
        <v>30.31662669281382</v>
      </c>
    </row>
    <row r="31" spans="1:11" hidden="1">
      <c r="A31" s="1">
        <v>87020008816</v>
      </c>
      <c r="B31">
        <v>410472365.71027333</v>
      </c>
      <c r="C31">
        <v>0</v>
      </c>
      <c r="D31">
        <v>8209447.3142054649</v>
      </c>
      <c r="E31">
        <v>0</v>
      </c>
      <c r="F31">
        <v>418681813.02447867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hidden="1">
      <c r="A32" s="1">
        <v>87020008817</v>
      </c>
      <c r="B32">
        <v>464140704.50121373</v>
      </c>
      <c r="C32">
        <v>0</v>
      </c>
      <c r="D32">
        <v>18565628.180048551</v>
      </c>
      <c r="E32">
        <v>0</v>
      </c>
      <c r="F32">
        <v>482706332.68126231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hidden="1">
      <c r="A33" s="1">
        <v>87020008818</v>
      </c>
      <c r="B33">
        <v>474303426.33494198</v>
      </c>
      <c r="C33">
        <v>0</v>
      </c>
      <c r="D33">
        <v>18972137.053397682</v>
      </c>
      <c r="E33">
        <v>0</v>
      </c>
      <c r="F33">
        <v>493275563.38833958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hidden="1">
      <c r="A34" s="1">
        <v>87020008819</v>
      </c>
      <c r="B34">
        <v>290393418.95452559</v>
      </c>
      <c r="C34">
        <v>0</v>
      </c>
      <c r="D34">
        <v>8711802.5686357692</v>
      </c>
      <c r="E34">
        <v>0</v>
      </c>
      <c r="F34">
        <v>299105221.52316141</v>
      </c>
      <c r="G34" t="s">
        <v>25</v>
      </c>
      <c r="H34">
        <v>3</v>
      </c>
      <c r="I34">
        <v>4</v>
      </c>
      <c r="J34">
        <v>1750905</v>
      </c>
      <c r="K34">
        <v>0</v>
      </c>
    </row>
  </sheetData>
  <autoFilter ref="A1:K34" xr:uid="{00000000-0001-0000-0100-000000000000}">
    <filterColumn colId="0">
      <filters>
        <filter val="8702000879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E4E5-7C31-4AB6-9388-CE7771C31255}">
  <dimension ref="B2:M35"/>
  <sheetViews>
    <sheetView topLeftCell="A16" zoomScale="85" zoomScaleNormal="85" workbookViewId="0">
      <selection activeCell="H31" sqref="H31"/>
    </sheetView>
  </sheetViews>
  <sheetFormatPr baseColWidth="10" defaultRowHeight="14.5"/>
  <cols>
    <col min="2" max="2" width="12.7265625" bestFit="1" customWidth="1"/>
    <col min="3" max="3" width="18.453125" bestFit="1" customWidth="1"/>
    <col min="4" max="4" width="17.54296875" bestFit="1" customWidth="1"/>
    <col min="5" max="5" width="16.26953125" style="8" bestFit="1" customWidth="1"/>
    <col min="6" max="6" width="22.453125" bestFit="1" customWidth="1"/>
    <col min="7" max="7" width="26.1796875" bestFit="1" customWidth="1"/>
    <col min="8" max="8" width="22.453125" bestFit="1" customWidth="1"/>
    <col min="9" max="9" width="16.26953125" bestFit="1" customWidth="1"/>
    <col min="10" max="10" width="12.1796875" style="8" bestFit="1" customWidth="1"/>
    <col min="11" max="11" width="18.54296875" style="8" bestFit="1" customWidth="1"/>
  </cols>
  <sheetData>
    <row r="2" spans="2:13">
      <c r="B2" s="3" t="s">
        <v>26</v>
      </c>
      <c r="C2" s="3" t="s">
        <v>27</v>
      </c>
      <c r="D2" s="3" t="s">
        <v>31</v>
      </c>
      <c r="E2" s="5"/>
      <c r="F2" s="3" t="s">
        <v>28</v>
      </c>
      <c r="G2" s="3" t="s">
        <v>29</v>
      </c>
      <c r="H2" s="3" t="s">
        <v>30</v>
      </c>
      <c r="I2" s="6" t="s">
        <v>32</v>
      </c>
    </row>
    <row r="3" spans="2:13">
      <c r="B3" s="4">
        <v>87020008786</v>
      </c>
      <c r="C3" s="7">
        <v>310597714.20229763</v>
      </c>
      <c r="D3" s="7">
        <f>VLOOKUP(B3,'Resumen Contable TMR'!$A$1:$F$34,6,FALSE)</f>
        <v>310597714.42870778</v>
      </c>
      <c r="E3" s="2">
        <f>C3-D3</f>
        <v>-0.2264101505279541</v>
      </c>
      <c r="F3" s="11">
        <v>321110770.55634445</v>
      </c>
      <c r="G3" s="11">
        <v>0</v>
      </c>
      <c r="H3" s="11">
        <v>12844430.822253767</v>
      </c>
      <c r="I3" s="10">
        <f>SUM(F3:H3)</f>
        <v>333955201.37859821</v>
      </c>
      <c r="J3" s="8">
        <f>VLOOKUP(B3,'Resumen IFRS17 TMR'!$A$1:$F$34,6,FALSE)</f>
        <v>333955201.54772818</v>
      </c>
      <c r="K3" s="8">
        <f>I3-J3</f>
        <v>-0.16912996768951416</v>
      </c>
    </row>
    <row r="4" spans="2:13">
      <c r="B4" s="4">
        <v>87020008787</v>
      </c>
      <c r="C4" s="9">
        <v>534674625.21454513</v>
      </c>
      <c r="D4" s="9">
        <f>VLOOKUP(B4,'Resumen Contable TMR'!$A$1:$F$34,6,FALSE)</f>
        <v>534674625.28916872</v>
      </c>
      <c r="E4" s="2">
        <f t="shared" ref="E4:E35" si="0">C4-D4</f>
        <v>-7.4623584747314453E-2</v>
      </c>
      <c r="F4" s="11">
        <v>530369496.46211237</v>
      </c>
      <c r="G4" s="11">
        <v>3098863.4717235933</v>
      </c>
      <c r="H4" s="11">
        <v>21472211.324193757</v>
      </c>
      <c r="I4" s="10">
        <f t="shared" ref="I4:I35" si="1">SUM(F4:H4)</f>
        <v>554940571.2580297</v>
      </c>
      <c r="J4" s="8">
        <f>VLOOKUP(B4,'Resumen IFRS17 TMR'!$A$1:$F$34,6,FALSE)</f>
        <v>554807096.08436799</v>
      </c>
      <c r="K4" s="8">
        <f t="shared" ref="K4:K35" si="2">I4-J4</f>
        <v>133475.17366170883</v>
      </c>
      <c r="M4" s="12">
        <f>H4/(SUM(F4:G4))</f>
        <v>4.0250205891979932E-2</v>
      </c>
    </row>
    <row r="5" spans="2:13">
      <c r="B5" s="4">
        <v>87020008788</v>
      </c>
      <c r="C5" s="7">
        <v>459665727.92388391</v>
      </c>
      <c r="D5" s="7">
        <f>VLOOKUP(B5,'Resumen Contable TMR'!$A$1:$F$34,6,FALSE)</f>
        <v>459665727.35280561</v>
      </c>
      <c r="E5" s="2">
        <f t="shared" si="0"/>
        <v>0.57107830047607422</v>
      </c>
      <c r="F5" s="11">
        <v>467782720.5235458</v>
      </c>
      <c r="G5" s="11">
        <v>0</v>
      </c>
      <c r="H5" s="11">
        <v>18711308.820941836</v>
      </c>
      <c r="I5" s="10">
        <f t="shared" si="1"/>
        <v>486494029.34448767</v>
      </c>
      <c r="J5" s="8">
        <f>VLOOKUP(B5,'Resumen IFRS17 TMR'!$A$1:$F$34,6,FALSE)</f>
        <v>486494028.92039537</v>
      </c>
      <c r="K5" s="8">
        <f t="shared" si="2"/>
        <v>0.42409229278564453</v>
      </c>
    </row>
    <row r="6" spans="2:13">
      <c r="B6" s="4">
        <v>87020008789</v>
      </c>
      <c r="C6" s="7">
        <v>428634813.14078861</v>
      </c>
      <c r="D6" s="7">
        <f>VLOOKUP(B6,'Resumen Contable TMR'!$A$1:$F$34,6,FALSE)</f>
        <v>428634812.94746238</v>
      </c>
      <c r="E6" s="2">
        <f t="shared" si="0"/>
        <v>0.19332623481750488</v>
      </c>
      <c r="F6" s="11">
        <v>434792762.03626549</v>
      </c>
      <c r="G6" s="11">
        <v>0</v>
      </c>
      <c r="H6" s="11">
        <v>17391710.481450628</v>
      </c>
      <c r="I6" s="10">
        <f t="shared" si="1"/>
        <v>452184472.51771611</v>
      </c>
      <c r="J6" s="8">
        <f>VLOOKUP(B6,'Resumen IFRS17 TMR'!$A$1:$F$34,6,FALSE)</f>
        <v>452184472.34103382</v>
      </c>
      <c r="K6" s="8">
        <f t="shared" si="2"/>
        <v>0.17668229341506958</v>
      </c>
    </row>
    <row r="7" spans="2:13">
      <c r="B7" s="4">
        <v>87020008790</v>
      </c>
      <c r="C7" s="9">
        <v>349166567.16775495</v>
      </c>
      <c r="D7" s="9">
        <f>VLOOKUP(B7,'Resumen Contable TMR'!$A$1:$F$34,6,FALSE)</f>
        <v>349166567.61437303</v>
      </c>
      <c r="E7" s="2">
        <f t="shared" si="0"/>
        <v>-0.44661808013916016</v>
      </c>
      <c r="F7" s="11">
        <v>383139826.61441725</v>
      </c>
      <c r="G7" s="11">
        <v>2814497.4466080396</v>
      </c>
      <c r="H7" s="11">
        <v>16321720.923928745</v>
      </c>
      <c r="I7" s="10">
        <f t="shared" si="1"/>
        <v>402276044.98495406</v>
      </c>
      <c r="J7" s="8">
        <f>VLOOKUP(B7,'Resumen IFRS17 TMR'!$A$1:$F$34,6,FALSE)</f>
        <v>401392497.71283197</v>
      </c>
      <c r="K7" s="8">
        <f t="shared" si="2"/>
        <v>883547.27212208509</v>
      </c>
      <c r="M7" s="12">
        <f>H7/(SUM(F7:G7))</f>
        <v>4.2289255247074338E-2</v>
      </c>
    </row>
    <row r="8" spans="2:13">
      <c r="B8" s="4">
        <v>87020008791</v>
      </c>
      <c r="C8" s="7">
        <v>465682913.73574507</v>
      </c>
      <c r="D8" s="7">
        <f>VLOOKUP(B8,'Resumen Contable TMR'!$A$1:$F$34,6,FALSE)</f>
        <v>465682913.15396452</v>
      </c>
      <c r="E8" s="2">
        <f t="shared" si="0"/>
        <v>0.58178055286407471</v>
      </c>
      <c r="F8" s="11">
        <v>473311041.29421055</v>
      </c>
      <c r="G8" s="11">
        <v>0</v>
      </c>
      <c r="H8" s="11">
        <v>18932441.651768394</v>
      </c>
      <c r="I8" s="10">
        <f t="shared" si="1"/>
        <v>492243482.94597894</v>
      </c>
      <c r="J8" s="8">
        <f>VLOOKUP(B8,'Resumen IFRS17 TMR'!$A$1:$F$34,6,FALSE)</f>
        <v>492243482.52075958</v>
      </c>
      <c r="K8" s="8">
        <f t="shared" si="2"/>
        <v>0.42521935701370239</v>
      </c>
    </row>
    <row r="9" spans="2:13">
      <c r="B9" s="4">
        <v>87020008792</v>
      </c>
      <c r="C9" s="7">
        <v>289487579.69930327</v>
      </c>
      <c r="D9" s="7">
        <f>VLOOKUP(B9,'Resumen Contable TMR'!$A$1:$F$34,6,FALSE)</f>
        <v>289487579.66221249</v>
      </c>
      <c r="E9" s="2">
        <f t="shared" si="0"/>
        <v>3.7090778350830078E-2</v>
      </c>
      <c r="F9" s="11">
        <v>294158741.51266867</v>
      </c>
      <c r="G9" s="11">
        <v>0</v>
      </c>
      <c r="H9" s="11">
        <v>11766349.660506733</v>
      </c>
      <c r="I9" s="10">
        <f t="shared" si="1"/>
        <v>305925091.17317539</v>
      </c>
      <c r="J9" s="8">
        <f>VLOOKUP(B9,'Resumen IFRS17 TMR'!$A$1:$F$34,6,FALSE)</f>
        <v>305925091.13328153</v>
      </c>
      <c r="K9" s="8">
        <f t="shared" si="2"/>
        <v>3.9893865585327148E-2</v>
      </c>
    </row>
    <row r="10" spans="2:13">
      <c r="B10" s="4">
        <v>87020008793</v>
      </c>
      <c r="C10" s="7">
        <v>262414968.10387424</v>
      </c>
      <c r="D10" s="7">
        <f>VLOOKUP(B10,'Resumen Contable TMR'!$A$1:$F$34,6,FALSE)</f>
        <v>262414968.11124951</v>
      </c>
      <c r="E10" s="2">
        <f t="shared" si="0"/>
        <v>-7.3752701282501221E-3</v>
      </c>
      <c r="F10" s="11">
        <v>270687852.07665032</v>
      </c>
      <c r="G10" s="11">
        <v>0</v>
      </c>
      <c r="H10" s="11">
        <v>10827514.083066022</v>
      </c>
      <c r="I10" s="10">
        <f t="shared" si="1"/>
        <v>281515366.15971637</v>
      </c>
      <c r="J10" s="8">
        <f>VLOOKUP(B10,'Resumen IFRS17 TMR'!$A$1:$F$34,6,FALSE)</f>
        <v>281515366.16385478</v>
      </c>
      <c r="K10" s="8">
        <f t="shared" si="2"/>
        <v>-4.1384100914001465E-3</v>
      </c>
    </row>
    <row r="11" spans="2:13">
      <c r="B11" s="4">
        <v>87020008794</v>
      </c>
      <c r="C11" s="9">
        <v>408118351.04576641</v>
      </c>
      <c r="D11" s="9">
        <f>VLOOKUP(B11,'Resumen Contable TMR'!$A$1:$F$34,6,FALSE)</f>
        <v>408118351.7295385</v>
      </c>
      <c r="E11" s="2">
        <f t="shared" si="0"/>
        <v>-0.68377208709716797</v>
      </c>
      <c r="F11" s="11">
        <v>457464624.93278629</v>
      </c>
      <c r="G11" s="11">
        <v>2196274.2637832449</v>
      </c>
      <c r="H11" s="11">
        <v>19250508.437403496</v>
      </c>
      <c r="I11" s="10">
        <f t="shared" si="1"/>
        <v>478911407.633973</v>
      </c>
      <c r="J11" s="8">
        <f>VLOOKUP(B11,'Resumen IFRS17 TMR'!$A$1:$F$34,6,FALSE)</f>
        <v>478047339.83844489</v>
      </c>
      <c r="K11" s="8">
        <f t="shared" si="2"/>
        <v>864067.79552811384</v>
      </c>
      <c r="M11" s="12">
        <f>H11/(SUM(F11:G11))</f>
        <v>4.1879804157915125E-2</v>
      </c>
    </row>
    <row r="12" spans="2:13">
      <c r="B12" s="4">
        <v>87020008795</v>
      </c>
      <c r="C12" s="7">
        <v>1357329184.9516861</v>
      </c>
      <c r="D12" s="7">
        <f>VLOOKUP(B12,'Resumen Contable TMR'!$A$1:$F$34,6,FALSE)</f>
        <v>1357329185.158607</v>
      </c>
      <c r="E12" s="2">
        <f t="shared" si="0"/>
        <v>-0.20692086219787598</v>
      </c>
      <c r="F12" s="11">
        <v>1372244616.8983533</v>
      </c>
      <c r="G12" s="11">
        <v>0</v>
      </c>
      <c r="H12" s="11">
        <v>41167338.506950535</v>
      </c>
      <c r="I12" s="10">
        <f t="shared" si="1"/>
        <v>1413411955.405304</v>
      </c>
      <c r="J12" s="8">
        <f>VLOOKUP(B12,'Resumen IFRS17 TMR'!$A$1:$F$34,6,FALSE)</f>
        <v>1413411955.5084579</v>
      </c>
      <c r="K12" s="8">
        <f t="shared" si="2"/>
        <v>-0.10315394401550293</v>
      </c>
    </row>
    <row r="13" spans="2:13">
      <c r="B13" s="4">
        <v>87020008796</v>
      </c>
      <c r="C13" s="7">
        <v>10679321.153113488</v>
      </c>
      <c r="D13" s="7">
        <f>VLOOKUP(B13,'Resumen Contable TMR'!$A$1:$F$34,6,FALSE)</f>
        <v>10679321.153994519</v>
      </c>
      <c r="E13" s="2">
        <f t="shared" si="0"/>
        <v>-8.8103115558624268E-4</v>
      </c>
      <c r="F13" s="11">
        <v>10268836.763906103</v>
      </c>
      <c r="G13" s="11">
        <v>0</v>
      </c>
      <c r="H13" s="11">
        <v>410753.47055624414</v>
      </c>
      <c r="I13" s="10">
        <f t="shared" si="1"/>
        <v>10679590.234462347</v>
      </c>
      <c r="J13" s="8">
        <f>VLOOKUP(B13,'Resumen IFRS17 TMR'!$A$1:$F$34,6,FALSE)</f>
        <v>10679590.23520389</v>
      </c>
      <c r="K13" s="8">
        <f t="shared" si="2"/>
        <v>-7.41543248295784E-4</v>
      </c>
    </row>
    <row r="14" spans="2:13">
      <c r="B14" s="4">
        <v>87020008797</v>
      </c>
      <c r="C14" s="7">
        <v>419768803.57577389</v>
      </c>
      <c r="D14" s="7">
        <f>VLOOKUP(B14,'Resumen Contable TMR'!$A$1:$F$34,6,FALSE)</f>
        <v>419768803.63938338</v>
      </c>
      <c r="E14" s="2">
        <f t="shared" si="0"/>
        <v>-6.3609480857849121E-2</v>
      </c>
      <c r="F14" s="11">
        <v>430247861.20379341</v>
      </c>
      <c r="G14" s="11">
        <v>0</v>
      </c>
      <c r="H14" s="11">
        <v>17209914.448151778</v>
      </c>
      <c r="I14" s="10">
        <f t="shared" si="1"/>
        <v>447457775.65194517</v>
      </c>
      <c r="J14" s="8">
        <f>VLOOKUP(B14,'Resumen IFRS17 TMR'!$A$1:$F$34,6,FALSE)</f>
        <v>447457775.68998772</v>
      </c>
      <c r="K14" s="8">
        <f t="shared" si="2"/>
        <v>-3.8042545318603516E-2</v>
      </c>
    </row>
    <row r="15" spans="2:13">
      <c r="B15" s="4">
        <v>87020008798</v>
      </c>
      <c r="C15" s="7">
        <v>335882858.55670846</v>
      </c>
      <c r="D15" s="7">
        <f>VLOOKUP(B15,'Resumen Contable TMR'!$A$1:$F$34,6,FALSE)</f>
        <v>335882858.80721641</v>
      </c>
      <c r="E15" s="2">
        <f t="shared" si="0"/>
        <v>-0.25050795078277588</v>
      </c>
      <c r="F15" s="11">
        <v>353335974.52548653</v>
      </c>
      <c r="G15" s="11">
        <v>4082858.4551879419</v>
      </c>
      <c r="H15" s="11">
        <v>14758539.747243216</v>
      </c>
      <c r="I15" s="10">
        <f t="shared" si="1"/>
        <v>372177372.72791767</v>
      </c>
      <c r="J15" s="8">
        <f>VLOOKUP(B15,'Resumen IFRS17 TMR'!$A$1:$F$34,6,FALSE)</f>
        <v>371715587.08530182</v>
      </c>
      <c r="K15" s="8">
        <f t="shared" si="2"/>
        <v>461785.64261585474</v>
      </c>
      <c r="M15" s="12">
        <f>H15/(SUM(F15:G15))</f>
        <v>4.1292003625453072E-2</v>
      </c>
    </row>
    <row r="16" spans="2:13">
      <c r="B16" s="4">
        <v>87020008799</v>
      </c>
      <c r="C16" s="7">
        <v>383106119.72644925</v>
      </c>
      <c r="D16" s="7">
        <f>VLOOKUP(B16,'Resumen Contable TMR'!$A$1:$F$34,6,FALSE)</f>
        <v>383106121.11491799</v>
      </c>
      <c r="E16" s="2">
        <f t="shared" si="0"/>
        <v>-1.3884687423706055</v>
      </c>
      <c r="F16" s="11">
        <v>414449578.95497942</v>
      </c>
      <c r="G16" s="11">
        <v>3054827.2125198371</v>
      </c>
      <c r="H16" s="11">
        <v>16827527.395532668</v>
      </c>
      <c r="I16" s="10">
        <f t="shared" si="1"/>
        <v>434331933.56303191</v>
      </c>
      <c r="J16" s="8">
        <f>VLOOKUP(B16,'Resumen IFRS17 TMR'!$A$1:$F$34,6,FALSE)</f>
        <v>434204590.75649858</v>
      </c>
      <c r="K16" s="8">
        <f t="shared" si="2"/>
        <v>127342.80653333664</v>
      </c>
      <c r="M16" s="12">
        <f>H16/(SUM(F16:G16))</f>
        <v>4.0305029472626944E-2</v>
      </c>
    </row>
    <row r="17" spans="2:13">
      <c r="B17" s="4">
        <v>87020008800</v>
      </c>
      <c r="C17" s="7">
        <v>501662626.75041616</v>
      </c>
      <c r="D17" s="7">
        <f>VLOOKUP(B17,'Resumen Contable TMR'!$A$1:$F$34,6,FALSE)</f>
        <v>501662626.62489468</v>
      </c>
      <c r="E17" s="2">
        <f t="shared" si="0"/>
        <v>0.12552148103713989</v>
      </c>
      <c r="F17" s="11">
        <v>501375582.11648953</v>
      </c>
      <c r="G17" s="11">
        <v>3362617.3299025469</v>
      </c>
      <c r="H17" s="11">
        <v>20339350.466733869</v>
      </c>
      <c r="I17" s="10">
        <f t="shared" si="1"/>
        <v>525077549.91312593</v>
      </c>
      <c r="J17" s="8">
        <f>VLOOKUP(B17,'Resumen IFRS17 TMR'!$A$1:$F$34,6,FALSE)</f>
        <v>524927727.82496393</v>
      </c>
      <c r="K17" s="8">
        <f t="shared" si="2"/>
        <v>149822.08816200495</v>
      </c>
      <c r="M17" s="12">
        <f>H17/(SUM(F17:G17))</f>
        <v>4.0296832078575616E-2</v>
      </c>
    </row>
    <row r="18" spans="2:13">
      <c r="B18" s="4">
        <v>87020008801</v>
      </c>
      <c r="C18" s="7">
        <v>329166335.46004367</v>
      </c>
      <c r="D18" s="7">
        <f>VLOOKUP(B18,'Resumen Contable TMR'!$A$1:$F$34,6,FALSE)</f>
        <v>329166335.57412899</v>
      </c>
      <c r="E18" s="2">
        <f t="shared" si="0"/>
        <v>-0.11408531665802002</v>
      </c>
      <c r="F18" s="11">
        <v>340227552.56983513</v>
      </c>
      <c r="G18" s="11">
        <v>0</v>
      </c>
      <c r="H18" s="11">
        <v>13609102.102793405</v>
      </c>
      <c r="I18" s="10">
        <f t="shared" si="1"/>
        <v>353836654.67262852</v>
      </c>
      <c r="J18" s="8">
        <f>VLOOKUP(B18,'Resumen IFRS17 TMR'!$A$1:$F$34,6,FALSE)</f>
        <v>353836654.75481182</v>
      </c>
      <c r="K18" s="8">
        <f t="shared" si="2"/>
        <v>-8.2183301448822021E-2</v>
      </c>
    </row>
    <row r="19" spans="2:13">
      <c r="B19" s="4">
        <v>87020008803</v>
      </c>
      <c r="C19" s="7">
        <v>230684801.01400277</v>
      </c>
      <c r="D19" s="7">
        <f>VLOOKUP(B19,'Resumen Contable TMR'!$A$1:$F$34,6,FALSE)</f>
        <v>230684800.98853251</v>
      </c>
      <c r="E19" s="2">
        <f t="shared" si="0"/>
        <v>2.5470256805419922E-2</v>
      </c>
      <c r="F19" s="11">
        <v>239512827.79756385</v>
      </c>
      <c r="G19" s="11">
        <v>0</v>
      </c>
      <c r="H19" s="11">
        <v>7185384.8339269152</v>
      </c>
      <c r="I19" s="10">
        <f t="shared" si="1"/>
        <v>246698212.63149077</v>
      </c>
      <c r="J19" s="8">
        <f>VLOOKUP(B19,'Resumen IFRS17 TMR'!$A$1:$F$34,6,FALSE)</f>
        <v>246698212.6085197</v>
      </c>
      <c r="K19" s="8">
        <f t="shared" si="2"/>
        <v>2.2971063852310181E-2</v>
      </c>
    </row>
    <row r="20" spans="2:13">
      <c r="B20" s="4">
        <v>87020008804</v>
      </c>
      <c r="C20" s="7">
        <v>258649134.76468977</v>
      </c>
      <c r="D20" s="7">
        <f>VLOOKUP(B20,'Resumen Contable TMR'!$A$1:$F$34,6,FALSE)</f>
        <v>258649134.35767019</v>
      </c>
      <c r="E20" s="2">
        <f t="shared" si="0"/>
        <v>0.40701958537101746</v>
      </c>
      <c r="F20" s="11">
        <v>262619068.93599603</v>
      </c>
      <c r="G20" s="11">
        <v>0</v>
      </c>
      <c r="H20" s="11">
        <v>10504762.757439837</v>
      </c>
      <c r="I20" s="10">
        <f t="shared" si="1"/>
        <v>273123831.69343585</v>
      </c>
      <c r="J20" s="8">
        <f>VLOOKUP(B20,'Resumen IFRS17 TMR'!$A$1:$F$34,6,FALSE)</f>
        <v>273123831.32412487</v>
      </c>
      <c r="K20" s="8">
        <f t="shared" si="2"/>
        <v>0.36931097507476807</v>
      </c>
    </row>
    <row r="21" spans="2:13">
      <c r="B21" s="4">
        <v>87020008805</v>
      </c>
      <c r="C21" s="7">
        <v>344785408.6596303</v>
      </c>
      <c r="D21" s="7">
        <f>VLOOKUP(B21,'Resumen Contable TMR'!$A$1:$F$34,6,FALSE)</f>
        <v>344785408.77488172</v>
      </c>
      <c r="E21" s="2">
        <f t="shared" si="0"/>
        <v>-0.11525142192840576</v>
      </c>
      <c r="F21" s="11">
        <v>359610824.93251997</v>
      </c>
      <c r="G21" s="11">
        <v>0</v>
      </c>
      <c r="H21" s="11">
        <v>10788324.747975601</v>
      </c>
      <c r="I21" s="10">
        <f t="shared" si="1"/>
        <v>370399149.68049556</v>
      </c>
      <c r="J21" s="8">
        <f>VLOOKUP(B21,'Resumen IFRS17 TMR'!$A$1:$F$34,6,FALSE)</f>
        <v>370399149.76867008</v>
      </c>
      <c r="K21" s="8">
        <f t="shared" si="2"/>
        <v>-8.8174521923065186E-2</v>
      </c>
    </row>
    <row r="22" spans="2:13">
      <c r="B22" s="4">
        <v>87020008806</v>
      </c>
      <c r="C22" s="7">
        <v>385380101.44271511</v>
      </c>
      <c r="D22" s="7">
        <f>VLOOKUP(B22,'Resumen Contable TMR'!$A$1:$F$34,6,FALSE)</f>
        <v>385380101.40580028</v>
      </c>
      <c r="E22" s="2">
        <f t="shared" si="0"/>
        <v>3.6914825439453125E-2</v>
      </c>
      <c r="F22" s="11">
        <v>388375671.14774626</v>
      </c>
      <c r="G22" s="11">
        <v>0</v>
      </c>
      <c r="H22" s="11">
        <v>15535026.845909879</v>
      </c>
      <c r="I22" s="10">
        <f t="shared" si="1"/>
        <v>403910697.99365616</v>
      </c>
      <c r="J22" s="8">
        <f>VLOOKUP(B22,'Resumen IFRS17 TMR'!$A$1:$F$34,6,FALSE)</f>
        <v>403910697.96211469</v>
      </c>
      <c r="K22" s="8">
        <f t="shared" si="2"/>
        <v>3.154146671295166E-2</v>
      </c>
    </row>
    <row r="23" spans="2:13">
      <c r="B23" s="4">
        <v>87020008807</v>
      </c>
      <c r="C23" s="7">
        <v>313506925.32316041</v>
      </c>
      <c r="D23" s="7">
        <f>VLOOKUP(B23,'Resumen Contable TMR'!$A$1:$F$34,6,FALSE)</f>
        <v>313506925.35495299</v>
      </c>
      <c r="E23" s="2">
        <f t="shared" si="0"/>
        <v>-3.1792581081390381E-2</v>
      </c>
      <c r="F23" s="11">
        <v>323977399.77820545</v>
      </c>
      <c r="G23" s="11">
        <v>0</v>
      </c>
      <c r="H23" s="11">
        <v>12959095.991128195</v>
      </c>
      <c r="I23" s="10">
        <f t="shared" si="1"/>
        <v>336936495.76933366</v>
      </c>
      <c r="J23" s="8">
        <f>VLOOKUP(B23,'Resumen IFRS17 TMR'!$A$1:$F$34,6,FALSE)</f>
        <v>336936495.79020828</v>
      </c>
      <c r="K23" s="8">
        <f t="shared" si="2"/>
        <v>-2.0874619483947754E-2</v>
      </c>
    </row>
    <row r="24" spans="2:13">
      <c r="B24" s="4">
        <v>87020008808</v>
      </c>
      <c r="C24" s="7">
        <v>166218088.85065502</v>
      </c>
      <c r="D24" s="7">
        <f>VLOOKUP(B24,'Resumen Contable TMR'!$A$1:$F$34,6,FALSE)</f>
        <v>166218088.84529099</v>
      </c>
      <c r="E24" s="2">
        <f t="shared" si="0"/>
        <v>5.3640305995941162E-3</v>
      </c>
      <c r="F24" s="11">
        <v>165595853.06668156</v>
      </c>
      <c r="G24" s="11">
        <v>0</v>
      </c>
      <c r="H24" s="11">
        <v>6623834.122667267</v>
      </c>
      <c r="I24" s="10">
        <f t="shared" si="1"/>
        <v>172219687.18934882</v>
      </c>
      <c r="J24" s="8">
        <f>VLOOKUP(B24,'Resumen IFRS17 TMR'!$A$1:$F$34,6,FALSE)</f>
        <v>172219687.1832644</v>
      </c>
      <c r="K24" s="8">
        <f t="shared" si="2"/>
        <v>6.0844123363494873E-3</v>
      </c>
    </row>
    <row r="25" spans="2:13">
      <c r="B25" s="4">
        <v>87020008809</v>
      </c>
      <c r="C25" s="7">
        <v>378729332.89676178</v>
      </c>
      <c r="D25" s="7">
        <f>VLOOKUP(B25,'Resumen Contable TMR'!$A$1:$F$34,6,FALSE)</f>
        <v>378729332.89045388</v>
      </c>
      <c r="E25" s="2">
        <f t="shared" si="0"/>
        <v>6.3078999519348145E-3</v>
      </c>
      <c r="F25" s="11">
        <v>383261550.2983886</v>
      </c>
      <c r="G25" s="11">
        <v>0</v>
      </c>
      <c r="H25" s="11">
        <v>15330462.011935528</v>
      </c>
      <c r="I25" s="10">
        <f t="shared" si="1"/>
        <v>398592012.31032413</v>
      </c>
      <c r="J25" s="8">
        <f>VLOOKUP(B25,'Resumen IFRS17 TMR'!$A$1:$F$34,6,FALSE)</f>
        <v>398592012.30345982</v>
      </c>
      <c r="K25" s="8">
        <f t="shared" si="2"/>
        <v>6.8643093109130859E-3</v>
      </c>
    </row>
    <row r="26" spans="2:13">
      <c r="B26" s="4">
        <v>87020008810</v>
      </c>
      <c r="C26" s="7">
        <v>337941425.60728329</v>
      </c>
      <c r="D26" s="7">
        <f>VLOOKUP(B26,'Resumen Contable TMR'!$A$1:$F$34,6,FALSE)</f>
        <v>337941425.85478252</v>
      </c>
      <c r="E26" s="2">
        <f t="shared" si="0"/>
        <v>-0.24749922752380371</v>
      </c>
      <c r="F26" s="11">
        <v>348675869.27940744</v>
      </c>
      <c r="G26" s="11">
        <v>0</v>
      </c>
      <c r="H26" s="11">
        <v>13947034.771176321</v>
      </c>
      <c r="I26" s="10">
        <f t="shared" si="1"/>
        <v>362622904.05058378</v>
      </c>
      <c r="J26" s="8">
        <f>VLOOKUP(B26,'Resumen IFRS17 TMR'!$A$1:$F$34,6,FALSE)</f>
        <v>362622904.2249577</v>
      </c>
      <c r="K26" s="8">
        <f t="shared" si="2"/>
        <v>-0.17437392473220825</v>
      </c>
    </row>
    <row r="27" spans="2:13">
      <c r="B27" s="4">
        <v>87020008811</v>
      </c>
      <c r="C27" s="7">
        <v>442628440.31468821</v>
      </c>
      <c r="D27" s="7">
        <f>VLOOKUP(B27,'Resumen Contable TMR'!$A$1:$F$34,6,FALSE)</f>
        <v>442628440.59978038</v>
      </c>
      <c r="E27" s="2">
        <f t="shared" si="0"/>
        <v>-0.28509217500686646</v>
      </c>
      <c r="F27" s="11">
        <v>445826567.26715505</v>
      </c>
      <c r="G27" s="11">
        <v>4267287.1776470672</v>
      </c>
      <c r="H27" s="11">
        <v>18068087.305874724</v>
      </c>
      <c r="I27" s="10">
        <f t="shared" si="1"/>
        <v>468161941.75067681</v>
      </c>
      <c r="J27" s="8">
        <f>VLOOKUP(B27,'Resumen IFRS17 TMR'!$A$1:$F$34,6,FALSE)</f>
        <v>468097609.4537273</v>
      </c>
      <c r="K27" s="8">
        <f t="shared" si="2"/>
        <v>64332.296949505806</v>
      </c>
      <c r="M27" s="12">
        <f>H27/(SUM(F27:G27))</f>
        <v>4.0142932696030691E-2</v>
      </c>
    </row>
    <row r="28" spans="2:13">
      <c r="B28" s="4">
        <v>87020008812</v>
      </c>
      <c r="C28" s="7">
        <v>264667853.54602796</v>
      </c>
      <c r="D28" s="7">
        <f>VLOOKUP(B28,'Resumen Contable TMR'!$A$1:$F$34,6,FALSE)</f>
        <v>264667854.33381709</v>
      </c>
      <c r="E28" s="2">
        <f t="shared" si="0"/>
        <v>-0.78778913617134094</v>
      </c>
      <c r="F28" s="11">
        <v>288499744.1088137</v>
      </c>
      <c r="G28" s="11">
        <v>4560908.0756636169</v>
      </c>
      <c r="H28" s="11">
        <v>12060610.229545493</v>
      </c>
      <c r="I28" s="10">
        <f t="shared" si="1"/>
        <v>305121262.4140228</v>
      </c>
      <c r="J28" s="8">
        <f>VLOOKUP(B28,'Resumen IFRS17 TMR'!$A$1:$F$34,6,FALSE)</f>
        <v>304783080.99556208</v>
      </c>
      <c r="K28" s="8">
        <f t="shared" si="2"/>
        <v>338181.41846072674</v>
      </c>
      <c r="M28" s="12">
        <f>H28/(SUM(F28:G28))</f>
        <v>4.1153973212185162E-2</v>
      </c>
    </row>
    <row r="29" spans="2:13">
      <c r="B29" s="4">
        <v>87020008813</v>
      </c>
      <c r="C29" s="7">
        <v>426891260.35108763</v>
      </c>
      <c r="D29" s="7">
        <f>VLOOKUP(B29,'Resumen Contable TMR'!$A$1:$F$34,6,FALSE)</f>
        <v>426891260.3386842</v>
      </c>
      <c r="E29" s="2">
        <f t="shared" si="0"/>
        <v>1.2403428554534912E-2</v>
      </c>
      <c r="F29" s="11">
        <v>437050044.81964552</v>
      </c>
      <c r="G29" s="11">
        <v>0</v>
      </c>
      <c r="H29" s="11">
        <v>17482001.792785816</v>
      </c>
      <c r="I29" s="10">
        <f t="shared" si="1"/>
        <v>454532046.61243135</v>
      </c>
      <c r="J29" s="8">
        <f>VLOOKUP(B29,'Resumen IFRS17 TMR'!$A$1:$F$34,6,FALSE)</f>
        <v>454532046.59481847</v>
      </c>
      <c r="K29" s="8">
        <f t="shared" si="2"/>
        <v>1.7612874507904053E-2</v>
      </c>
    </row>
    <row r="30" spans="2:13">
      <c r="B30" s="4">
        <v>87020008814</v>
      </c>
      <c r="C30" s="7">
        <v>347182083.12864387</v>
      </c>
      <c r="D30" s="7">
        <f>VLOOKUP(B30,'Resumen Contable TMR'!$A$1:$F$34,6,FALSE)</f>
        <v>347182083.24166667</v>
      </c>
      <c r="E30" s="2">
        <f t="shared" si="0"/>
        <v>-0.11302280426025391</v>
      </c>
      <c r="F30" s="11">
        <v>358585633.85649258</v>
      </c>
      <c r="G30" s="11">
        <v>0</v>
      </c>
      <c r="H30" s="11">
        <v>14343425.354259692</v>
      </c>
      <c r="I30" s="10">
        <f t="shared" si="1"/>
        <v>372929059.21075225</v>
      </c>
      <c r="J30" s="8">
        <f>VLOOKUP(B30,'Resumen IFRS17 TMR'!$A$1:$F$34,6,FALSE)</f>
        <v>372929059.29117292</v>
      </c>
      <c r="K30" s="8">
        <f t="shared" si="2"/>
        <v>-8.042067289352417E-2</v>
      </c>
    </row>
    <row r="31" spans="2:13">
      <c r="B31" s="4">
        <v>87020008815</v>
      </c>
      <c r="C31" s="7">
        <v>383251029.13565505</v>
      </c>
      <c r="D31" s="7">
        <f>VLOOKUP(B31,'Resumen Contable TMR'!$A$1:$F$34,6,FALSE)</f>
        <v>383251029.8500073</v>
      </c>
      <c r="E31" s="2">
        <f t="shared" si="0"/>
        <v>-0.71435225009918213</v>
      </c>
      <c r="F31" s="11">
        <v>420395225.09346354</v>
      </c>
      <c r="G31" s="11">
        <v>2714255.5171403494</v>
      </c>
      <c r="H31" s="11">
        <v>17917881.603539165</v>
      </c>
      <c r="I31" s="10">
        <f t="shared" si="1"/>
        <v>441027362.21414304</v>
      </c>
      <c r="J31" s="8">
        <f>VLOOKUP(B31,'Resumen IFRS17 TMR'!$A$1:$F$34,6,FALSE)</f>
        <v>440033860.713893</v>
      </c>
      <c r="K31" s="8">
        <f t="shared" si="2"/>
        <v>993501.50025004148</v>
      </c>
      <c r="M31" s="12">
        <f>H31/(SUM(F31:G31))</f>
        <v>4.2348097654728162E-2</v>
      </c>
    </row>
    <row r="32" spans="2:13">
      <c r="B32" s="4">
        <v>87020008816</v>
      </c>
      <c r="C32" s="7">
        <v>418681813.03664368</v>
      </c>
      <c r="D32" s="7">
        <f>VLOOKUP(B32,'Resumen Contable TMR'!$A$1:$F$34,6,FALSE)</f>
        <v>418681813.02447867</v>
      </c>
      <c r="E32" s="2">
        <f t="shared" si="0"/>
        <v>1.216500997543335E-2</v>
      </c>
      <c r="F32" s="11">
        <v>437050044.81964552</v>
      </c>
      <c r="G32" s="11">
        <v>0</v>
      </c>
      <c r="H32" s="11">
        <v>8741000.8963929079</v>
      </c>
      <c r="I32" s="10">
        <f t="shared" si="1"/>
        <v>445791045.71603841</v>
      </c>
      <c r="J32" s="8">
        <f>VLOOKUP(B32,'Resumen IFRS17 TMR'!$A$1:$F$34,6,FALSE)</f>
        <v>445791045.69876432</v>
      </c>
      <c r="K32" s="8">
        <f t="shared" si="2"/>
        <v>1.7274081707000732E-2</v>
      </c>
    </row>
    <row r="33" spans="2:11">
      <c r="B33" s="4">
        <v>87020008817</v>
      </c>
      <c r="C33" s="7">
        <v>482706333.31802046</v>
      </c>
      <c r="D33" s="7">
        <f>VLOOKUP(B33,'Resumen Contable TMR'!$A$1:$F$34,6,FALSE)</f>
        <v>482706332.68126231</v>
      </c>
      <c r="E33" s="2">
        <f t="shared" si="0"/>
        <v>0.63675814867019653</v>
      </c>
      <c r="F33" s="11">
        <v>488755860.35250235</v>
      </c>
      <c r="G33" s="11">
        <v>0</v>
      </c>
      <c r="H33" s="11">
        <v>19550234.414100107</v>
      </c>
      <c r="I33" s="10">
        <f t="shared" si="1"/>
        <v>508306094.76660246</v>
      </c>
      <c r="J33" s="8">
        <f>VLOOKUP(B33,'Resumen IFRS17 TMR'!$A$1:$F$34,6,FALSE)</f>
        <v>508306094.31299561</v>
      </c>
      <c r="K33" s="8">
        <f t="shared" si="2"/>
        <v>0.45360684394836426</v>
      </c>
    </row>
    <row r="34" spans="2:11">
      <c r="B34" s="4">
        <v>87020008818</v>
      </c>
      <c r="C34" s="7">
        <v>493275563.99254614</v>
      </c>
      <c r="D34" s="7">
        <f>VLOOKUP(B34,'Resumen Contable TMR'!$A$1:$F$34,6,FALSE)</f>
        <v>493275563.38833958</v>
      </c>
      <c r="E34" s="2">
        <f t="shared" si="0"/>
        <v>0.60420656204223633</v>
      </c>
      <c r="F34" s="11">
        <v>498197630.80953169</v>
      </c>
      <c r="G34" s="11">
        <v>0</v>
      </c>
      <c r="H34" s="11">
        <v>19927905.232381281</v>
      </c>
      <c r="I34" s="10">
        <f t="shared" si="1"/>
        <v>518125536.04191297</v>
      </c>
      <c r="J34" s="8">
        <f>VLOOKUP(B34,'Resumen IFRS17 TMR'!$A$1:$F$34,6,FALSE)</f>
        <v>518125535.62250829</v>
      </c>
      <c r="K34" s="8">
        <f t="shared" si="2"/>
        <v>0.41940468549728394</v>
      </c>
    </row>
    <row r="35" spans="2:11">
      <c r="B35" s="4">
        <v>87020008819</v>
      </c>
      <c r="C35" s="7">
        <v>299105221.58852506</v>
      </c>
      <c r="D35" s="7">
        <f>VLOOKUP(B35,'Resumen Contable TMR'!$A$1:$F$34,6,FALSE)</f>
        <v>299105221.52316141</v>
      </c>
      <c r="E35" s="2">
        <f t="shared" si="0"/>
        <v>6.5363645553588867E-2</v>
      </c>
      <c r="F35" s="11">
        <v>290562501.78310633</v>
      </c>
      <c r="G35" s="11">
        <v>0</v>
      </c>
      <c r="H35" s="11">
        <v>8716875.0534931924</v>
      </c>
      <c r="I35" s="10">
        <f t="shared" si="1"/>
        <v>299279376.83659953</v>
      </c>
      <c r="J35" s="8">
        <f>VLOOKUP(B35,'Resumen IFRS17 TMR'!$A$1:$F$34,6,FALSE)</f>
        <v>299279376.79283851</v>
      </c>
      <c r="K35" s="8">
        <f t="shared" si="2"/>
        <v>4.3761014938354492E-2</v>
      </c>
    </row>
  </sheetData>
  <autoFilter ref="B2:K35" xr:uid="{954BE4E5-7C31-4AB6-9388-CE7771C3125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IFRS17 TMR</vt:lpstr>
      <vt:lpstr>Resumen Contable TMR</vt:lpstr>
      <vt:lpstr>Prototipo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Alejandra Nieto Rodriguez</cp:lastModifiedBy>
  <dcterms:created xsi:type="dcterms:W3CDTF">2026-03-30T16:24:11Z</dcterms:created>
  <dcterms:modified xsi:type="dcterms:W3CDTF">2026-03-30T17:58:02Z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